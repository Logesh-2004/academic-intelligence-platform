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ogesh\Downloads\"/>
    </mc:Choice>
  </mc:AlternateContent>
  <xr:revisionPtr revIDLastSave="0" documentId="13_ncr:1_{63800D52-D1E5-4BA1-BDF4-B38801825833}" xr6:coauthVersionLast="47" xr6:coauthVersionMax="47" xr10:uidLastSave="{00000000-0000-0000-0000-000000000000}"/>
  <bookViews>
    <workbookView xWindow="-96" yWindow="0" windowWidth="11712" windowHeight="12336" firstSheet="1" activeTab="1" xr2:uid="{560BC3B8-C78C-4D9B-9F73-BD7D51411DEB}"/>
  </bookViews>
  <sheets>
    <sheet name="AE-STU-DETAILS" sheetId="3" r:id="rId1"/>
    <sheet name="AE-sem1&amp;2" sheetId="1" r:id="rId2"/>
    <sheet name="Pass-Fail" sheetId="2" r:id="rId3"/>
  </sheets>
  <definedNames>
    <definedName name="_xlnm._FilterDatabase" localSheetId="1" hidden="1">'AE-sem1&amp;2'!$A$1:$Z$1028624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4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O1350" i="1"/>
  <c r="L1350" i="1"/>
  <c r="J1350" i="1"/>
  <c r="O1349" i="1"/>
  <c r="L1349" i="1"/>
  <c r="J1349" i="1"/>
  <c r="O1348" i="1"/>
  <c r="L1348" i="1"/>
  <c r="J1348" i="1"/>
  <c r="O1347" i="1"/>
  <c r="L1347" i="1"/>
  <c r="J1347" i="1"/>
  <c r="O1346" i="1"/>
  <c r="L1346" i="1"/>
  <c r="J1346" i="1"/>
  <c r="O1345" i="1"/>
  <c r="L1345" i="1"/>
  <c r="J1345" i="1"/>
  <c r="O1344" i="1"/>
  <c r="L1344" i="1"/>
  <c r="J1344" i="1"/>
  <c r="O1343" i="1"/>
  <c r="L1343" i="1"/>
  <c r="J1343" i="1"/>
  <c r="O1342" i="1"/>
  <c r="L1342" i="1"/>
  <c r="J1342" i="1"/>
  <c r="O1341" i="1"/>
  <c r="L1341" i="1"/>
  <c r="J1341" i="1"/>
  <c r="O1340" i="1"/>
  <c r="L1340" i="1"/>
  <c r="J1340" i="1"/>
  <c r="O1339" i="1"/>
  <c r="L1339" i="1"/>
  <c r="J1339" i="1"/>
  <c r="O1338" i="1"/>
  <c r="L1338" i="1"/>
  <c r="J1338" i="1"/>
  <c r="O1337" i="1"/>
  <c r="L1337" i="1"/>
  <c r="J1337" i="1"/>
  <c r="O1336" i="1"/>
  <c r="L1336" i="1"/>
  <c r="J1336" i="1"/>
  <c r="O1335" i="1"/>
  <c r="L1335" i="1"/>
  <c r="J1335" i="1"/>
  <c r="O1334" i="1"/>
  <c r="L1334" i="1"/>
  <c r="J1334" i="1"/>
  <c r="O1333" i="1"/>
  <c r="L1333" i="1"/>
  <c r="J1333" i="1"/>
  <c r="O1332" i="1"/>
  <c r="L1332" i="1"/>
  <c r="J1332" i="1"/>
  <c r="O1331" i="1"/>
  <c r="L1331" i="1"/>
  <c r="J1331" i="1"/>
  <c r="O1330" i="1"/>
  <c r="L1330" i="1"/>
  <c r="J1330" i="1"/>
  <c r="O1329" i="1"/>
  <c r="L1329" i="1"/>
  <c r="J1329" i="1"/>
  <c r="O1328" i="1"/>
  <c r="L1328" i="1"/>
  <c r="J1328" i="1"/>
  <c r="O1327" i="1"/>
  <c r="L1327" i="1"/>
  <c r="J1327" i="1"/>
  <c r="O1326" i="1"/>
  <c r="L1326" i="1"/>
  <c r="J1326" i="1"/>
  <c r="O1325" i="1"/>
  <c r="L1325" i="1"/>
  <c r="J1325" i="1"/>
  <c r="O1324" i="1"/>
  <c r="L1324" i="1"/>
  <c r="J1324" i="1"/>
  <c r="O1323" i="1"/>
  <c r="L1323" i="1"/>
  <c r="J1323" i="1"/>
  <c r="O1322" i="1"/>
  <c r="L1322" i="1"/>
  <c r="J1322" i="1"/>
  <c r="O1321" i="1"/>
  <c r="L1321" i="1"/>
  <c r="J1321" i="1"/>
  <c r="O1320" i="1"/>
  <c r="L1320" i="1"/>
  <c r="J1320" i="1"/>
  <c r="O1319" i="1"/>
  <c r="L1319" i="1"/>
  <c r="J1319" i="1"/>
  <c r="O1318" i="1"/>
  <c r="L1318" i="1"/>
  <c r="J1318" i="1"/>
  <c r="O1317" i="1"/>
  <c r="L1317" i="1"/>
  <c r="J1317" i="1"/>
  <c r="O1316" i="1"/>
  <c r="L1316" i="1"/>
  <c r="J1316" i="1"/>
  <c r="O1315" i="1"/>
  <c r="L1315" i="1"/>
  <c r="J1315" i="1"/>
  <c r="O1314" i="1"/>
  <c r="L1314" i="1"/>
  <c r="J1314" i="1"/>
  <c r="O1313" i="1"/>
  <c r="L1313" i="1"/>
  <c r="J1313" i="1"/>
  <c r="O1312" i="1"/>
  <c r="L1312" i="1"/>
  <c r="J1312" i="1"/>
  <c r="O1311" i="1"/>
  <c r="L1311" i="1"/>
  <c r="J1311" i="1"/>
  <c r="O1310" i="1"/>
  <c r="L1310" i="1"/>
  <c r="J1310" i="1"/>
  <c r="O1309" i="1"/>
  <c r="L1309" i="1"/>
  <c r="J1309" i="1"/>
  <c r="O1308" i="1"/>
  <c r="L1308" i="1"/>
  <c r="J1308" i="1"/>
  <c r="O1307" i="1"/>
  <c r="L1307" i="1"/>
  <c r="J1307" i="1"/>
  <c r="O1306" i="1"/>
  <c r="L1306" i="1"/>
  <c r="J1306" i="1"/>
  <c r="O1305" i="1"/>
  <c r="L1305" i="1"/>
  <c r="J1305" i="1"/>
  <c r="O1304" i="1"/>
  <c r="L1304" i="1"/>
  <c r="J1304" i="1"/>
  <c r="O1303" i="1"/>
  <c r="L1303" i="1"/>
  <c r="J1303" i="1"/>
  <c r="O1302" i="1"/>
  <c r="L1302" i="1"/>
  <c r="J1302" i="1"/>
  <c r="O1301" i="1"/>
  <c r="L1301" i="1"/>
  <c r="J1301" i="1"/>
  <c r="O1300" i="1"/>
  <c r="L1300" i="1"/>
  <c r="J1300" i="1"/>
  <c r="O1299" i="1"/>
  <c r="L1299" i="1"/>
  <c r="J1299" i="1"/>
  <c r="O1298" i="1"/>
  <c r="L1298" i="1"/>
  <c r="J1298" i="1"/>
  <c r="O1297" i="1"/>
  <c r="L1297" i="1"/>
  <c r="J1297" i="1"/>
  <c r="O1296" i="1"/>
  <c r="L1296" i="1"/>
  <c r="J1296" i="1"/>
  <c r="O1295" i="1"/>
  <c r="L1295" i="1"/>
  <c r="J1295" i="1"/>
  <c r="O1294" i="1"/>
  <c r="L1294" i="1"/>
  <c r="J1294" i="1"/>
  <c r="O1293" i="1"/>
  <c r="L1293" i="1"/>
  <c r="J1293" i="1"/>
  <c r="O1292" i="1"/>
  <c r="L1292" i="1"/>
  <c r="J1292" i="1"/>
  <c r="O1291" i="1"/>
  <c r="L1291" i="1"/>
  <c r="J1291" i="1"/>
  <c r="O1290" i="1"/>
  <c r="L1290" i="1"/>
  <c r="J1290" i="1"/>
  <c r="O1289" i="1"/>
  <c r="L1289" i="1"/>
  <c r="J1289" i="1"/>
  <c r="O1288" i="1"/>
  <c r="L1288" i="1"/>
  <c r="J1288" i="1"/>
  <c r="O1287" i="1"/>
  <c r="L1287" i="1"/>
  <c r="J1287" i="1"/>
  <c r="O1286" i="1"/>
  <c r="L1286" i="1"/>
  <c r="J1286" i="1"/>
  <c r="O1285" i="1"/>
  <c r="L1285" i="1"/>
  <c r="J1285" i="1"/>
  <c r="O1284" i="1"/>
  <c r="L1284" i="1"/>
  <c r="J1284" i="1"/>
  <c r="O1283" i="1"/>
  <c r="L1283" i="1"/>
  <c r="J1283" i="1"/>
  <c r="O1282" i="1"/>
  <c r="L1282" i="1"/>
  <c r="J1282" i="1"/>
  <c r="O1281" i="1"/>
  <c r="L1281" i="1"/>
  <c r="J1281" i="1"/>
  <c r="O1280" i="1"/>
  <c r="L1280" i="1"/>
  <c r="J1280" i="1"/>
  <c r="O1279" i="1"/>
  <c r="L1279" i="1"/>
  <c r="J1279" i="1"/>
  <c r="O1278" i="1"/>
  <c r="L1278" i="1"/>
  <c r="J1278" i="1"/>
  <c r="O1277" i="1"/>
  <c r="L1277" i="1"/>
  <c r="J1277" i="1"/>
  <c r="O1276" i="1"/>
  <c r="L1276" i="1"/>
  <c r="J1276" i="1"/>
  <c r="O1275" i="1"/>
  <c r="L1275" i="1"/>
  <c r="J1275" i="1"/>
  <c r="O1274" i="1"/>
  <c r="L1274" i="1"/>
  <c r="J1274" i="1"/>
  <c r="O1273" i="1"/>
  <c r="L1273" i="1"/>
  <c r="J1273" i="1"/>
  <c r="O1272" i="1"/>
  <c r="L1272" i="1"/>
  <c r="J1272" i="1"/>
  <c r="O1271" i="1"/>
  <c r="L1271" i="1"/>
  <c r="J1271" i="1"/>
  <c r="O1270" i="1"/>
  <c r="L1270" i="1"/>
  <c r="J1270" i="1"/>
  <c r="O1269" i="1"/>
  <c r="L1269" i="1"/>
  <c r="J1269" i="1"/>
  <c r="O1268" i="1"/>
  <c r="L1268" i="1"/>
  <c r="J1268" i="1"/>
  <c r="O1267" i="1"/>
  <c r="L1267" i="1"/>
  <c r="J1267" i="1"/>
  <c r="O1266" i="1"/>
  <c r="L1266" i="1"/>
  <c r="J1266" i="1"/>
  <c r="O1265" i="1"/>
  <c r="L1265" i="1"/>
  <c r="J1265" i="1"/>
  <c r="O1264" i="1"/>
  <c r="L1264" i="1"/>
  <c r="J1264" i="1"/>
  <c r="O1263" i="1"/>
  <c r="L1263" i="1"/>
  <c r="J1263" i="1"/>
  <c r="O1262" i="1"/>
  <c r="L1262" i="1"/>
  <c r="J1262" i="1"/>
  <c r="O1261" i="1"/>
  <c r="L1261" i="1"/>
  <c r="J1261" i="1"/>
  <c r="O1260" i="1"/>
  <c r="L1260" i="1"/>
  <c r="J1260" i="1"/>
  <c r="O1259" i="1"/>
  <c r="L1259" i="1"/>
  <c r="J1259" i="1"/>
  <c r="O1258" i="1"/>
  <c r="L1258" i="1"/>
  <c r="J1258" i="1"/>
  <c r="O1257" i="1"/>
  <c r="L1257" i="1"/>
  <c r="J1257" i="1"/>
  <c r="O1256" i="1"/>
  <c r="L1256" i="1"/>
  <c r="J1256" i="1"/>
  <c r="O1255" i="1"/>
  <c r="L1255" i="1"/>
  <c r="J1255" i="1"/>
  <c r="O1254" i="1"/>
  <c r="L1254" i="1"/>
  <c r="J1254" i="1"/>
  <c r="O1253" i="1"/>
  <c r="L1253" i="1"/>
  <c r="J1253" i="1"/>
  <c r="O1252" i="1"/>
  <c r="L1252" i="1"/>
  <c r="J1252" i="1"/>
  <c r="O1251" i="1"/>
  <c r="L1251" i="1"/>
  <c r="J1251" i="1"/>
  <c r="O1250" i="1"/>
  <c r="L1250" i="1"/>
  <c r="J1250" i="1"/>
  <c r="O1249" i="1"/>
  <c r="L1249" i="1"/>
  <c r="J1249" i="1"/>
  <c r="O1248" i="1"/>
  <c r="L1248" i="1"/>
  <c r="J1248" i="1"/>
  <c r="O1247" i="1"/>
  <c r="L1247" i="1"/>
  <c r="J1247" i="1"/>
  <c r="O1246" i="1"/>
  <c r="L1246" i="1"/>
  <c r="J1246" i="1"/>
  <c r="O1245" i="1"/>
  <c r="L1245" i="1"/>
  <c r="J1245" i="1"/>
  <c r="O1244" i="1"/>
  <c r="L1244" i="1"/>
  <c r="J1244" i="1"/>
  <c r="O1243" i="1"/>
  <c r="L1243" i="1"/>
  <c r="J1243" i="1"/>
  <c r="O1242" i="1"/>
  <c r="L1242" i="1"/>
  <c r="J1242" i="1"/>
  <c r="O1241" i="1"/>
  <c r="L1241" i="1"/>
  <c r="J1241" i="1"/>
  <c r="O1240" i="1"/>
  <c r="L1240" i="1"/>
  <c r="J1240" i="1"/>
  <c r="O1239" i="1"/>
  <c r="L1239" i="1"/>
  <c r="J1239" i="1"/>
  <c r="O1238" i="1"/>
  <c r="L1238" i="1"/>
  <c r="J1238" i="1"/>
  <c r="O1237" i="1"/>
  <c r="L1237" i="1"/>
  <c r="J1237" i="1"/>
  <c r="O1236" i="1"/>
  <c r="L1236" i="1"/>
  <c r="J1236" i="1"/>
  <c r="O1235" i="1"/>
  <c r="L1235" i="1"/>
  <c r="J1235" i="1"/>
  <c r="O1234" i="1"/>
  <c r="L1234" i="1"/>
  <c r="J1234" i="1"/>
  <c r="O1233" i="1"/>
  <c r="L1233" i="1"/>
  <c r="J1233" i="1"/>
  <c r="O1232" i="1"/>
  <c r="L1232" i="1"/>
  <c r="J1232" i="1"/>
  <c r="O1231" i="1"/>
  <c r="L1231" i="1"/>
  <c r="J1231" i="1"/>
  <c r="O1230" i="1"/>
  <c r="L1230" i="1"/>
  <c r="J1230" i="1"/>
  <c r="O1229" i="1"/>
  <c r="L1229" i="1"/>
  <c r="J1229" i="1"/>
  <c r="O1228" i="1"/>
  <c r="L1228" i="1"/>
  <c r="J1228" i="1"/>
  <c r="O1227" i="1"/>
  <c r="L1227" i="1"/>
  <c r="J1227" i="1"/>
  <c r="O1226" i="1"/>
  <c r="L1226" i="1"/>
  <c r="J1226" i="1"/>
  <c r="O1225" i="1"/>
  <c r="L1225" i="1"/>
  <c r="J1225" i="1"/>
  <c r="O1224" i="1"/>
  <c r="L1224" i="1"/>
  <c r="J1224" i="1"/>
  <c r="O1223" i="1"/>
  <c r="L1223" i="1"/>
  <c r="J1223" i="1"/>
  <c r="O1222" i="1"/>
  <c r="L1222" i="1"/>
  <c r="J1222" i="1"/>
  <c r="O1221" i="1"/>
  <c r="L1221" i="1"/>
  <c r="J1221" i="1"/>
  <c r="O1220" i="1"/>
  <c r="L1220" i="1"/>
  <c r="J1220" i="1"/>
  <c r="O1219" i="1"/>
  <c r="L1219" i="1"/>
  <c r="J1219" i="1"/>
  <c r="O1218" i="1"/>
  <c r="L1218" i="1"/>
  <c r="J1218" i="1"/>
  <c r="O1217" i="1"/>
  <c r="L1217" i="1"/>
  <c r="J1217" i="1"/>
  <c r="O1216" i="1"/>
  <c r="L1216" i="1"/>
  <c r="J1216" i="1"/>
  <c r="O1215" i="1"/>
  <c r="L1215" i="1"/>
  <c r="J1215" i="1"/>
  <c r="O1214" i="1"/>
  <c r="L1214" i="1"/>
  <c r="J1214" i="1"/>
  <c r="O1213" i="1"/>
  <c r="L1213" i="1"/>
  <c r="J1213" i="1"/>
  <c r="O1212" i="1"/>
  <c r="L1212" i="1"/>
  <c r="J1212" i="1"/>
  <c r="O1211" i="1"/>
  <c r="L1211" i="1"/>
  <c r="J1211" i="1"/>
  <c r="O1210" i="1"/>
  <c r="L1210" i="1"/>
  <c r="J1210" i="1"/>
  <c r="O1209" i="1"/>
  <c r="L1209" i="1"/>
  <c r="J1209" i="1"/>
  <c r="O1208" i="1"/>
  <c r="L1208" i="1"/>
  <c r="J1208" i="1"/>
  <c r="O1207" i="1"/>
  <c r="L1207" i="1"/>
  <c r="J1207" i="1"/>
  <c r="O1206" i="1"/>
  <c r="L1206" i="1"/>
  <c r="J1206" i="1"/>
  <c r="O1205" i="1"/>
  <c r="L1205" i="1"/>
  <c r="J1205" i="1"/>
  <c r="O1204" i="1"/>
  <c r="L1204" i="1"/>
  <c r="J1204" i="1"/>
  <c r="O1203" i="1"/>
  <c r="L1203" i="1"/>
  <c r="J1203" i="1"/>
  <c r="O1202" i="1"/>
  <c r="L1202" i="1"/>
  <c r="J1202" i="1"/>
  <c r="O1201" i="1"/>
  <c r="L1201" i="1"/>
  <c r="J1201" i="1"/>
  <c r="O1200" i="1"/>
  <c r="L1200" i="1"/>
  <c r="J1200" i="1"/>
  <c r="O1199" i="1"/>
  <c r="L1199" i="1"/>
  <c r="J1199" i="1"/>
  <c r="O1198" i="1"/>
  <c r="L1198" i="1"/>
  <c r="J1198" i="1"/>
  <c r="O1197" i="1"/>
  <c r="L1197" i="1"/>
  <c r="J1197" i="1"/>
  <c r="O1196" i="1"/>
  <c r="L1196" i="1"/>
  <c r="J1196" i="1"/>
  <c r="O1195" i="1"/>
  <c r="L1195" i="1"/>
  <c r="J1195" i="1"/>
  <c r="O1194" i="1"/>
  <c r="L1194" i="1"/>
  <c r="J1194" i="1"/>
  <c r="O1193" i="1"/>
  <c r="L1193" i="1"/>
  <c r="J1193" i="1"/>
  <c r="O1192" i="1"/>
  <c r="L1192" i="1"/>
  <c r="J1192" i="1"/>
  <c r="O1191" i="1"/>
  <c r="L1191" i="1"/>
  <c r="J1191" i="1"/>
  <c r="O1190" i="1"/>
  <c r="L1190" i="1"/>
  <c r="J1190" i="1"/>
  <c r="O1189" i="1"/>
  <c r="L1189" i="1"/>
  <c r="J1189" i="1"/>
  <c r="O1188" i="1"/>
  <c r="L1188" i="1"/>
  <c r="J1188" i="1"/>
  <c r="O1187" i="1"/>
  <c r="L1187" i="1"/>
  <c r="J1187" i="1"/>
  <c r="O1186" i="1"/>
  <c r="L1186" i="1"/>
  <c r="J1186" i="1"/>
  <c r="O1185" i="1"/>
  <c r="L1185" i="1"/>
  <c r="J1185" i="1"/>
  <c r="O1184" i="1"/>
  <c r="L1184" i="1"/>
  <c r="J1184" i="1"/>
  <c r="O1183" i="1"/>
  <c r="L1183" i="1"/>
  <c r="J1183" i="1"/>
  <c r="O1182" i="1"/>
  <c r="L1182" i="1"/>
  <c r="J1182" i="1"/>
  <c r="O1181" i="1"/>
  <c r="L1181" i="1"/>
  <c r="J1181" i="1"/>
  <c r="O1180" i="1"/>
  <c r="L1180" i="1"/>
  <c r="J1180" i="1"/>
  <c r="O1179" i="1"/>
  <c r="L1179" i="1"/>
  <c r="J1179" i="1"/>
  <c r="O1178" i="1"/>
  <c r="L1178" i="1"/>
  <c r="J1178" i="1"/>
  <c r="O1177" i="1"/>
  <c r="L1177" i="1"/>
  <c r="J1177" i="1"/>
  <c r="O1176" i="1"/>
  <c r="L1176" i="1"/>
  <c r="J1176" i="1"/>
  <c r="O1175" i="1"/>
  <c r="L1175" i="1"/>
  <c r="J1175" i="1"/>
  <c r="O1174" i="1"/>
  <c r="L1174" i="1"/>
  <c r="J1174" i="1"/>
  <c r="O1173" i="1"/>
  <c r="L1173" i="1"/>
  <c r="J1173" i="1"/>
  <c r="O1172" i="1"/>
  <c r="L1172" i="1"/>
  <c r="J1172" i="1"/>
  <c r="O1171" i="1"/>
  <c r="L1171" i="1"/>
  <c r="J1171" i="1"/>
  <c r="O1170" i="1"/>
  <c r="L1170" i="1"/>
  <c r="J1170" i="1"/>
  <c r="O1169" i="1"/>
  <c r="L1169" i="1"/>
  <c r="J1169" i="1"/>
  <c r="O1168" i="1"/>
  <c r="L1168" i="1"/>
  <c r="J1168" i="1"/>
  <c r="O1167" i="1"/>
  <c r="L1167" i="1"/>
  <c r="J1167" i="1"/>
  <c r="O1166" i="1"/>
  <c r="L1166" i="1"/>
  <c r="J1166" i="1"/>
  <c r="O1165" i="1"/>
  <c r="L1165" i="1"/>
  <c r="J1165" i="1"/>
  <c r="O1164" i="1"/>
  <c r="L1164" i="1"/>
  <c r="J1164" i="1"/>
  <c r="O1163" i="1"/>
  <c r="L1163" i="1"/>
  <c r="J1163" i="1"/>
  <c r="O1162" i="1"/>
  <c r="L1162" i="1"/>
  <c r="J1162" i="1"/>
  <c r="O1161" i="1"/>
  <c r="L1161" i="1"/>
  <c r="J1161" i="1"/>
  <c r="O1160" i="1"/>
  <c r="L1160" i="1"/>
  <c r="J1160" i="1"/>
  <c r="O1159" i="1"/>
  <c r="L1159" i="1"/>
  <c r="J1159" i="1"/>
  <c r="O1158" i="1"/>
  <c r="L1158" i="1"/>
  <c r="J1158" i="1"/>
  <c r="O1157" i="1"/>
  <c r="L1157" i="1"/>
  <c r="J1157" i="1"/>
  <c r="O1156" i="1"/>
  <c r="L1156" i="1"/>
  <c r="J1156" i="1"/>
  <c r="O1155" i="1"/>
  <c r="L1155" i="1"/>
  <c r="J1155" i="1"/>
  <c r="O1154" i="1"/>
  <c r="L1154" i="1"/>
  <c r="J1154" i="1"/>
  <c r="O1153" i="1"/>
  <c r="L1153" i="1"/>
  <c r="J1153" i="1"/>
  <c r="O1152" i="1"/>
  <c r="L1152" i="1"/>
  <c r="J1152" i="1"/>
  <c r="O1151" i="1"/>
  <c r="L1151" i="1"/>
  <c r="J1151" i="1"/>
  <c r="O1150" i="1"/>
  <c r="L1150" i="1"/>
  <c r="J1150" i="1"/>
  <c r="O1149" i="1"/>
  <c r="L1149" i="1"/>
  <c r="J1149" i="1"/>
  <c r="O1148" i="1"/>
  <c r="L1148" i="1"/>
  <c r="J1148" i="1"/>
  <c r="O1147" i="1"/>
  <c r="L1147" i="1"/>
  <c r="J1147" i="1"/>
  <c r="O1146" i="1"/>
  <c r="L1146" i="1"/>
  <c r="J1146" i="1"/>
  <c r="O1145" i="1"/>
  <c r="L1145" i="1"/>
  <c r="J1145" i="1"/>
  <c r="O1144" i="1"/>
  <c r="L1144" i="1"/>
  <c r="J1144" i="1"/>
  <c r="O1143" i="1"/>
  <c r="L1143" i="1"/>
  <c r="J1143" i="1"/>
  <c r="O1142" i="1"/>
  <c r="L1142" i="1"/>
  <c r="J1142" i="1"/>
  <c r="O1141" i="1"/>
  <c r="L1141" i="1"/>
  <c r="J1141" i="1"/>
  <c r="O1140" i="1"/>
  <c r="L1140" i="1"/>
  <c r="J1140" i="1"/>
  <c r="O1139" i="1"/>
  <c r="L1139" i="1"/>
  <c r="J1139" i="1"/>
  <c r="O1138" i="1"/>
  <c r="L1138" i="1"/>
  <c r="J1138" i="1"/>
  <c r="O1137" i="1"/>
  <c r="L1137" i="1"/>
  <c r="J1137" i="1"/>
  <c r="O1136" i="1"/>
  <c r="L1136" i="1"/>
  <c r="J1136" i="1"/>
  <c r="O1135" i="1"/>
  <c r="L1135" i="1"/>
  <c r="J1135" i="1"/>
  <c r="O1134" i="1"/>
  <c r="L1134" i="1"/>
  <c r="J1134" i="1"/>
  <c r="O1133" i="1"/>
  <c r="L1133" i="1"/>
  <c r="J1133" i="1"/>
  <c r="O1132" i="1"/>
  <c r="L1132" i="1"/>
  <c r="J1132" i="1"/>
  <c r="O1131" i="1"/>
  <c r="L1131" i="1"/>
  <c r="J1131" i="1"/>
  <c r="O1130" i="1"/>
  <c r="L1130" i="1"/>
  <c r="J1130" i="1"/>
  <c r="O1129" i="1"/>
  <c r="L1129" i="1"/>
  <c r="J1129" i="1"/>
  <c r="O1128" i="1"/>
  <c r="L1128" i="1"/>
  <c r="J1128" i="1"/>
  <c r="O1127" i="1"/>
  <c r="L1127" i="1"/>
  <c r="J1127" i="1"/>
  <c r="O1126" i="1"/>
  <c r="L1126" i="1"/>
  <c r="J1126" i="1"/>
  <c r="O1125" i="1"/>
  <c r="L1125" i="1"/>
  <c r="J1125" i="1"/>
  <c r="O1124" i="1"/>
  <c r="L1124" i="1"/>
  <c r="J1124" i="1"/>
  <c r="O1123" i="1"/>
  <c r="L1123" i="1"/>
  <c r="J1123" i="1"/>
  <c r="O1122" i="1"/>
  <c r="L1122" i="1"/>
  <c r="J1122" i="1"/>
  <c r="O1121" i="1"/>
  <c r="L1121" i="1"/>
  <c r="J1121" i="1"/>
  <c r="O1120" i="1"/>
  <c r="L1120" i="1"/>
  <c r="J1120" i="1"/>
  <c r="O1119" i="1"/>
  <c r="L1119" i="1"/>
  <c r="J1119" i="1"/>
  <c r="O1118" i="1"/>
  <c r="L1118" i="1"/>
  <c r="J1118" i="1"/>
  <c r="O1117" i="1"/>
  <c r="L1117" i="1"/>
  <c r="J1117" i="1"/>
  <c r="O1116" i="1"/>
  <c r="L1116" i="1"/>
  <c r="J1116" i="1"/>
  <c r="O1115" i="1"/>
  <c r="L1115" i="1"/>
  <c r="J1115" i="1"/>
  <c r="O1114" i="1"/>
  <c r="L1114" i="1"/>
  <c r="J1114" i="1"/>
  <c r="O1113" i="1"/>
  <c r="L1113" i="1"/>
  <c r="J1113" i="1"/>
  <c r="O1112" i="1"/>
  <c r="L1112" i="1"/>
  <c r="J1112" i="1"/>
  <c r="O1111" i="1"/>
  <c r="L1111" i="1"/>
  <c r="J1111" i="1"/>
  <c r="O1110" i="1"/>
  <c r="L1110" i="1"/>
  <c r="J1110" i="1"/>
  <c r="O1109" i="1"/>
  <c r="L1109" i="1"/>
  <c r="J1109" i="1"/>
  <c r="O1108" i="1"/>
  <c r="L1108" i="1"/>
  <c r="J1108" i="1"/>
  <c r="O1107" i="1"/>
  <c r="L1107" i="1"/>
  <c r="J1107" i="1"/>
  <c r="O1106" i="1"/>
  <c r="L1106" i="1"/>
  <c r="J1106" i="1"/>
  <c r="O1105" i="1"/>
  <c r="L1105" i="1"/>
  <c r="J1105" i="1"/>
  <c r="O1104" i="1"/>
  <c r="L1104" i="1"/>
  <c r="J1104" i="1"/>
  <c r="O1103" i="1"/>
  <c r="L1103" i="1"/>
  <c r="J1103" i="1"/>
  <c r="O1102" i="1"/>
  <c r="L1102" i="1"/>
  <c r="J1102" i="1"/>
  <c r="O1101" i="1"/>
  <c r="L1101" i="1"/>
  <c r="J1101" i="1"/>
  <c r="O1100" i="1"/>
  <c r="L1100" i="1"/>
  <c r="J1100" i="1"/>
  <c r="O1099" i="1"/>
  <c r="L1099" i="1"/>
  <c r="J1099" i="1"/>
  <c r="O1098" i="1"/>
  <c r="L1098" i="1"/>
  <c r="J1098" i="1"/>
  <c r="O1097" i="1"/>
  <c r="L1097" i="1"/>
  <c r="J1097" i="1"/>
  <c r="O1096" i="1"/>
  <c r="L1096" i="1"/>
  <c r="J1096" i="1"/>
  <c r="O1095" i="1"/>
  <c r="L1095" i="1"/>
  <c r="J1095" i="1"/>
  <c r="O1094" i="1"/>
  <c r="L1094" i="1"/>
  <c r="J1094" i="1"/>
  <c r="O1093" i="1"/>
  <c r="L1093" i="1"/>
  <c r="J1093" i="1"/>
  <c r="O1092" i="1"/>
  <c r="L1092" i="1"/>
  <c r="J1092" i="1"/>
  <c r="O1091" i="1"/>
  <c r="L1091" i="1"/>
  <c r="J1091" i="1"/>
  <c r="O1090" i="1"/>
  <c r="L1090" i="1"/>
  <c r="J1090" i="1"/>
  <c r="O1089" i="1"/>
  <c r="L1089" i="1"/>
  <c r="J1089" i="1"/>
  <c r="O1088" i="1"/>
  <c r="L1088" i="1"/>
  <c r="J1088" i="1"/>
  <c r="O1087" i="1"/>
  <c r="L1087" i="1"/>
  <c r="J1087" i="1"/>
  <c r="O1086" i="1"/>
  <c r="L1086" i="1"/>
  <c r="J1086" i="1"/>
  <c r="O1085" i="1"/>
  <c r="L1085" i="1"/>
  <c r="J1085" i="1"/>
  <c r="O1084" i="1"/>
  <c r="L1084" i="1"/>
  <c r="J1084" i="1"/>
  <c r="O1083" i="1"/>
  <c r="L1083" i="1"/>
  <c r="J1083" i="1"/>
  <c r="O1082" i="1"/>
  <c r="L1082" i="1"/>
  <c r="J1082" i="1"/>
  <c r="O1081" i="1"/>
  <c r="L1081" i="1"/>
  <c r="J1081" i="1"/>
  <c r="O1080" i="1"/>
  <c r="L1080" i="1"/>
  <c r="J1080" i="1"/>
  <c r="O1079" i="1"/>
  <c r="L1079" i="1"/>
  <c r="J1079" i="1"/>
  <c r="O1078" i="1"/>
  <c r="L1078" i="1"/>
  <c r="J1078" i="1"/>
  <c r="O1077" i="1"/>
  <c r="L1077" i="1"/>
  <c r="J1077" i="1"/>
  <c r="O1076" i="1"/>
  <c r="L1076" i="1"/>
  <c r="J1076" i="1"/>
  <c r="O1075" i="1"/>
  <c r="L1075" i="1"/>
  <c r="J1075" i="1"/>
  <c r="O1074" i="1"/>
  <c r="L1074" i="1"/>
  <c r="J1074" i="1"/>
  <c r="O1073" i="1"/>
  <c r="L1073" i="1"/>
  <c r="J1073" i="1"/>
  <c r="O1072" i="1"/>
  <c r="L1072" i="1"/>
  <c r="J1072" i="1"/>
  <c r="O1071" i="1"/>
  <c r="L1071" i="1"/>
  <c r="J1071" i="1"/>
  <c r="O1070" i="1"/>
  <c r="L1070" i="1"/>
  <c r="J1070" i="1"/>
  <c r="O1069" i="1"/>
  <c r="L1069" i="1"/>
  <c r="J1069" i="1"/>
  <c r="O1068" i="1"/>
  <c r="L1068" i="1"/>
  <c r="J1068" i="1"/>
  <c r="O1067" i="1"/>
  <c r="L1067" i="1"/>
  <c r="J1067" i="1"/>
  <c r="O1066" i="1"/>
  <c r="L1066" i="1"/>
  <c r="J1066" i="1"/>
  <c r="O1065" i="1"/>
  <c r="L1065" i="1"/>
  <c r="J1065" i="1"/>
  <c r="O1064" i="1"/>
  <c r="L1064" i="1"/>
  <c r="J1064" i="1"/>
  <c r="O1063" i="1"/>
  <c r="L1063" i="1"/>
  <c r="J1063" i="1"/>
  <c r="O1062" i="1"/>
  <c r="L1062" i="1"/>
  <c r="J1062" i="1"/>
  <c r="O1061" i="1"/>
  <c r="L1061" i="1"/>
  <c r="J1061" i="1"/>
  <c r="O1060" i="1"/>
  <c r="L1060" i="1"/>
  <c r="J1060" i="1"/>
  <c r="O1059" i="1"/>
  <c r="L1059" i="1"/>
  <c r="J1059" i="1"/>
  <c r="O1058" i="1"/>
  <c r="L1058" i="1"/>
  <c r="J1058" i="1"/>
  <c r="O1057" i="1"/>
  <c r="L1057" i="1"/>
  <c r="J1057" i="1"/>
  <c r="O1056" i="1"/>
  <c r="L1056" i="1"/>
  <c r="J1056" i="1"/>
  <c r="O1055" i="1"/>
  <c r="L1055" i="1"/>
  <c r="J1055" i="1"/>
  <c r="O1054" i="1"/>
  <c r="L1054" i="1"/>
  <c r="J1054" i="1"/>
  <c r="O1053" i="1"/>
  <c r="L1053" i="1"/>
  <c r="J1053" i="1"/>
  <c r="O1052" i="1"/>
  <c r="L1052" i="1"/>
  <c r="J1052" i="1"/>
  <c r="O1051" i="1"/>
  <c r="L1051" i="1"/>
  <c r="J1051" i="1"/>
  <c r="O1050" i="1"/>
  <c r="L1050" i="1"/>
  <c r="J1050" i="1"/>
  <c r="O1049" i="1"/>
  <c r="L1049" i="1"/>
  <c r="J1049" i="1"/>
  <c r="O1048" i="1"/>
  <c r="L1048" i="1"/>
  <c r="J1048" i="1"/>
  <c r="O1047" i="1"/>
  <c r="L1047" i="1"/>
  <c r="J1047" i="1"/>
  <c r="O1046" i="1"/>
  <c r="L1046" i="1"/>
  <c r="J1046" i="1"/>
  <c r="O1045" i="1"/>
  <c r="L1045" i="1"/>
  <c r="J1045" i="1"/>
  <c r="O1044" i="1"/>
  <c r="L1044" i="1"/>
  <c r="J1044" i="1"/>
  <c r="O1043" i="1"/>
  <c r="L1043" i="1"/>
  <c r="J1043" i="1"/>
  <c r="O1042" i="1"/>
  <c r="L1042" i="1"/>
  <c r="J1042" i="1"/>
  <c r="O1041" i="1"/>
  <c r="L1041" i="1"/>
  <c r="J1041" i="1"/>
  <c r="O1040" i="1"/>
  <c r="L1040" i="1"/>
  <c r="J1040" i="1"/>
  <c r="O1039" i="1"/>
  <c r="L1039" i="1"/>
  <c r="J1039" i="1"/>
  <c r="O1038" i="1"/>
  <c r="L1038" i="1"/>
  <c r="J1038" i="1"/>
  <c r="O1037" i="1"/>
  <c r="L1037" i="1"/>
  <c r="J1037" i="1"/>
  <c r="O1036" i="1"/>
  <c r="L1036" i="1"/>
  <c r="J1036" i="1"/>
  <c r="O1035" i="1"/>
  <c r="L1035" i="1"/>
  <c r="J1035" i="1"/>
  <c r="O1034" i="1"/>
  <c r="L1034" i="1"/>
  <c r="J1034" i="1"/>
  <c r="O1033" i="1"/>
  <c r="L1033" i="1"/>
  <c r="J1033" i="1"/>
  <c r="O1032" i="1"/>
  <c r="L1032" i="1"/>
  <c r="J1032" i="1"/>
  <c r="O1031" i="1"/>
  <c r="L1031" i="1"/>
  <c r="J1031" i="1"/>
  <c r="O1030" i="1"/>
  <c r="L1030" i="1"/>
  <c r="J1030" i="1"/>
  <c r="O1029" i="1"/>
  <c r="L1029" i="1"/>
  <c r="J1029" i="1"/>
  <c r="O1028" i="1"/>
  <c r="L1028" i="1"/>
  <c r="J1028" i="1"/>
  <c r="O1027" i="1"/>
  <c r="L1027" i="1"/>
  <c r="J1027" i="1"/>
  <c r="O1026" i="1"/>
  <c r="L1026" i="1"/>
  <c r="J1026" i="1"/>
  <c r="O1025" i="1"/>
  <c r="L1025" i="1"/>
  <c r="J1025" i="1"/>
  <c r="O1024" i="1"/>
  <c r="L1024" i="1"/>
  <c r="J1024" i="1"/>
  <c r="O1023" i="1"/>
  <c r="L1023" i="1"/>
  <c r="J1023" i="1"/>
  <c r="O1022" i="1"/>
  <c r="L1022" i="1"/>
  <c r="J1022" i="1"/>
  <c r="O1021" i="1"/>
  <c r="L1021" i="1"/>
  <c r="J1021" i="1"/>
  <c r="O1020" i="1"/>
  <c r="L1020" i="1"/>
  <c r="J1020" i="1"/>
  <c r="O1019" i="1"/>
  <c r="L1019" i="1"/>
  <c r="J1019" i="1"/>
  <c r="O1018" i="1"/>
  <c r="L1018" i="1"/>
  <c r="J1018" i="1"/>
  <c r="O1017" i="1"/>
  <c r="L1017" i="1"/>
  <c r="J1017" i="1"/>
  <c r="O1016" i="1"/>
  <c r="L1016" i="1"/>
  <c r="J1016" i="1"/>
  <c r="O1015" i="1"/>
  <c r="L1015" i="1"/>
  <c r="J1015" i="1"/>
  <c r="O1014" i="1"/>
  <c r="L1014" i="1"/>
  <c r="J1014" i="1"/>
  <c r="O1013" i="1"/>
  <c r="L1013" i="1"/>
  <c r="J1013" i="1"/>
  <c r="O1012" i="1"/>
  <c r="L1012" i="1"/>
  <c r="J1012" i="1"/>
  <c r="O1011" i="1"/>
  <c r="L1011" i="1"/>
  <c r="J1011" i="1"/>
  <c r="O1010" i="1"/>
  <c r="L1010" i="1"/>
  <c r="J1010" i="1"/>
  <c r="O1009" i="1"/>
  <c r="L1009" i="1"/>
  <c r="J1009" i="1"/>
  <c r="O1008" i="1"/>
  <c r="L1008" i="1"/>
  <c r="J1008" i="1"/>
  <c r="O1007" i="1"/>
  <c r="L1007" i="1"/>
  <c r="J1007" i="1"/>
  <c r="O1006" i="1"/>
  <c r="L1006" i="1"/>
  <c r="J1006" i="1"/>
  <c r="O1005" i="1"/>
  <c r="L1005" i="1"/>
  <c r="J1005" i="1"/>
  <c r="O1004" i="1"/>
  <c r="L1004" i="1"/>
  <c r="J1004" i="1"/>
  <c r="O1003" i="1"/>
  <c r="L1003" i="1"/>
  <c r="J1003" i="1"/>
  <c r="O1002" i="1"/>
  <c r="L1002" i="1"/>
  <c r="J1002" i="1"/>
  <c r="O1001" i="1"/>
  <c r="L1001" i="1"/>
  <c r="J1001" i="1"/>
  <c r="O1000" i="1"/>
  <c r="L1000" i="1"/>
  <c r="J1000" i="1"/>
  <c r="O999" i="1"/>
  <c r="L999" i="1"/>
  <c r="J999" i="1"/>
  <c r="O998" i="1"/>
  <c r="L998" i="1"/>
  <c r="J998" i="1"/>
  <c r="O997" i="1"/>
  <c r="L997" i="1"/>
  <c r="J997" i="1"/>
  <c r="O996" i="1"/>
  <c r="L996" i="1"/>
  <c r="J996" i="1"/>
  <c r="O995" i="1"/>
  <c r="L995" i="1"/>
  <c r="J995" i="1"/>
  <c r="O994" i="1"/>
  <c r="L994" i="1"/>
  <c r="J994" i="1"/>
  <c r="O993" i="1"/>
  <c r="L993" i="1"/>
  <c r="J993" i="1"/>
  <c r="O992" i="1"/>
  <c r="L992" i="1"/>
  <c r="J992" i="1"/>
  <c r="O991" i="1"/>
  <c r="L991" i="1"/>
  <c r="J991" i="1"/>
  <c r="O990" i="1"/>
  <c r="L990" i="1"/>
  <c r="J990" i="1"/>
  <c r="O989" i="1"/>
  <c r="L989" i="1"/>
  <c r="J989" i="1"/>
  <c r="O988" i="1"/>
  <c r="L988" i="1"/>
  <c r="J988" i="1"/>
  <c r="O987" i="1"/>
  <c r="L987" i="1"/>
  <c r="J987" i="1"/>
  <c r="O986" i="1"/>
  <c r="L986" i="1"/>
  <c r="J986" i="1"/>
  <c r="O985" i="1"/>
  <c r="L985" i="1"/>
  <c r="J985" i="1"/>
  <c r="O984" i="1"/>
  <c r="L984" i="1"/>
  <c r="J984" i="1"/>
  <c r="O983" i="1"/>
  <c r="L983" i="1"/>
  <c r="J983" i="1"/>
  <c r="O982" i="1"/>
  <c r="L982" i="1"/>
  <c r="J982" i="1"/>
  <c r="O981" i="1"/>
  <c r="L981" i="1"/>
  <c r="J981" i="1"/>
  <c r="O980" i="1"/>
  <c r="L980" i="1"/>
  <c r="J980" i="1"/>
  <c r="O979" i="1"/>
  <c r="L979" i="1"/>
  <c r="J979" i="1"/>
  <c r="O978" i="1"/>
  <c r="L978" i="1"/>
  <c r="J978" i="1"/>
  <c r="O977" i="1"/>
  <c r="L977" i="1"/>
  <c r="J977" i="1"/>
  <c r="O976" i="1"/>
  <c r="L976" i="1"/>
  <c r="J976" i="1"/>
  <c r="O975" i="1"/>
  <c r="L975" i="1"/>
  <c r="J975" i="1"/>
  <c r="O974" i="1"/>
  <c r="L974" i="1"/>
  <c r="J974" i="1"/>
  <c r="O973" i="1"/>
  <c r="L973" i="1"/>
  <c r="J973" i="1"/>
  <c r="O972" i="1"/>
  <c r="L972" i="1"/>
  <c r="J972" i="1"/>
  <c r="O971" i="1"/>
  <c r="L971" i="1"/>
  <c r="J971" i="1"/>
  <c r="O970" i="1"/>
  <c r="L970" i="1"/>
  <c r="J970" i="1"/>
  <c r="O969" i="1"/>
  <c r="L969" i="1"/>
  <c r="J969" i="1"/>
  <c r="O968" i="1"/>
  <c r="L968" i="1"/>
  <c r="J968" i="1"/>
  <c r="O967" i="1"/>
  <c r="L967" i="1"/>
  <c r="J967" i="1"/>
  <c r="O966" i="1"/>
  <c r="L966" i="1"/>
  <c r="J966" i="1"/>
  <c r="O965" i="1"/>
  <c r="L965" i="1"/>
  <c r="J965" i="1"/>
  <c r="O964" i="1"/>
  <c r="L964" i="1"/>
  <c r="J964" i="1"/>
  <c r="O963" i="1"/>
  <c r="L963" i="1"/>
  <c r="J963" i="1"/>
  <c r="O962" i="1"/>
  <c r="L962" i="1"/>
  <c r="J962" i="1"/>
  <c r="O961" i="1"/>
  <c r="L961" i="1"/>
  <c r="J961" i="1"/>
  <c r="O960" i="1"/>
  <c r="L960" i="1"/>
  <c r="J960" i="1"/>
  <c r="O959" i="1"/>
  <c r="L959" i="1"/>
  <c r="J959" i="1"/>
  <c r="O958" i="1"/>
  <c r="L958" i="1"/>
  <c r="J958" i="1"/>
  <c r="O957" i="1"/>
  <c r="L957" i="1"/>
  <c r="J957" i="1"/>
  <c r="O956" i="1"/>
  <c r="L956" i="1"/>
  <c r="J956" i="1"/>
  <c r="O955" i="1"/>
  <c r="L955" i="1"/>
  <c r="J955" i="1"/>
  <c r="O954" i="1"/>
  <c r="L954" i="1"/>
  <c r="J954" i="1"/>
  <c r="O953" i="1"/>
  <c r="L953" i="1"/>
  <c r="J953" i="1"/>
  <c r="O952" i="1"/>
  <c r="L952" i="1"/>
  <c r="J952" i="1"/>
  <c r="O951" i="1"/>
  <c r="L951" i="1"/>
  <c r="J951" i="1"/>
  <c r="O950" i="1"/>
  <c r="L950" i="1"/>
  <c r="J950" i="1"/>
  <c r="O949" i="1"/>
  <c r="L949" i="1"/>
  <c r="J949" i="1"/>
  <c r="O948" i="1"/>
  <c r="L948" i="1"/>
  <c r="J948" i="1"/>
  <c r="O947" i="1"/>
  <c r="L947" i="1"/>
  <c r="J947" i="1"/>
  <c r="O946" i="1"/>
  <c r="L946" i="1"/>
  <c r="J946" i="1"/>
  <c r="O945" i="1"/>
  <c r="L945" i="1"/>
  <c r="J945" i="1"/>
  <c r="O944" i="1"/>
  <c r="L944" i="1"/>
  <c r="J944" i="1"/>
  <c r="O943" i="1"/>
  <c r="L943" i="1"/>
  <c r="J943" i="1"/>
  <c r="O942" i="1"/>
  <c r="L942" i="1"/>
  <c r="J942" i="1"/>
  <c r="O941" i="1"/>
  <c r="L941" i="1"/>
  <c r="J941" i="1"/>
  <c r="O940" i="1"/>
  <c r="L940" i="1"/>
  <c r="J940" i="1"/>
  <c r="O939" i="1"/>
  <c r="L939" i="1"/>
  <c r="J939" i="1"/>
  <c r="O938" i="1"/>
  <c r="L938" i="1"/>
  <c r="J938" i="1"/>
  <c r="O937" i="1"/>
  <c r="L937" i="1"/>
  <c r="J937" i="1"/>
  <c r="O936" i="1"/>
  <c r="L936" i="1"/>
  <c r="J936" i="1"/>
  <c r="O935" i="1"/>
  <c r="L935" i="1"/>
  <c r="J935" i="1"/>
  <c r="O934" i="1"/>
  <c r="L934" i="1"/>
  <c r="J934" i="1"/>
  <c r="O933" i="1"/>
  <c r="L933" i="1"/>
  <c r="J933" i="1"/>
  <c r="O932" i="1"/>
  <c r="L932" i="1"/>
  <c r="J932" i="1"/>
  <c r="O931" i="1"/>
  <c r="L931" i="1"/>
  <c r="J931" i="1"/>
  <c r="O930" i="1"/>
  <c r="L930" i="1"/>
  <c r="J930" i="1"/>
  <c r="O929" i="1"/>
  <c r="L929" i="1"/>
  <c r="J929" i="1"/>
  <c r="O928" i="1"/>
  <c r="L928" i="1"/>
  <c r="J928" i="1"/>
  <c r="O927" i="1"/>
  <c r="L927" i="1"/>
  <c r="J927" i="1"/>
  <c r="O926" i="1"/>
  <c r="L926" i="1"/>
  <c r="J926" i="1"/>
  <c r="O925" i="1"/>
  <c r="L925" i="1"/>
  <c r="J925" i="1"/>
  <c r="O924" i="1"/>
  <c r="L924" i="1"/>
  <c r="J924" i="1"/>
  <c r="O923" i="1"/>
  <c r="L923" i="1"/>
  <c r="J923" i="1"/>
  <c r="O922" i="1"/>
  <c r="L922" i="1"/>
  <c r="J922" i="1"/>
  <c r="O921" i="1"/>
  <c r="L921" i="1"/>
  <c r="J921" i="1"/>
  <c r="O920" i="1"/>
  <c r="L920" i="1"/>
  <c r="J920" i="1"/>
  <c r="O919" i="1"/>
  <c r="L919" i="1"/>
  <c r="J919" i="1"/>
  <c r="O918" i="1"/>
  <c r="L918" i="1"/>
  <c r="J918" i="1"/>
  <c r="O917" i="1"/>
  <c r="L917" i="1"/>
  <c r="J917" i="1"/>
  <c r="O916" i="1"/>
  <c r="L916" i="1"/>
  <c r="J916" i="1"/>
  <c r="O915" i="1"/>
  <c r="L915" i="1"/>
  <c r="J915" i="1"/>
  <c r="O914" i="1"/>
  <c r="L914" i="1"/>
  <c r="J914" i="1"/>
  <c r="O913" i="1"/>
  <c r="L913" i="1"/>
  <c r="J913" i="1"/>
  <c r="O912" i="1"/>
  <c r="L912" i="1"/>
  <c r="J912" i="1"/>
  <c r="O911" i="1"/>
  <c r="L911" i="1"/>
  <c r="J911" i="1"/>
  <c r="O910" i="1"/>
  <c r="L910" i="1"/>
  <c r="J910" i="1"/>
  <c r="O909" i="1"/>
  <c r="L909" i="1"/>
  <c r="J909" i="1"/>
  <c r="O908" i="1"/>
  <c r="L908" i="1"/>
  <c r="J908" i="1"/>
  <c r="O907" i="1"/>
  <c r="L907" i="1"/>
  <c r="J907" i="1"/>
  <c r="O906" i="1"/>
  <c r="L906" i="1"/>
  <c r="J906" i="1"/>
  <c r="O905" i="1"/>
  <c r="L905" i="1"/>
  <c r="J905" i="1"/>
  <c r="O904" i="1"/>
  <c r="L904" i="1"/>
  <c r="J904" i="1"/>
  <c r="O903" i="1"/>
  <c r="L903" i="1"/>
  <c r="J903" i="1"/>
  <c r="O902" i="1"/>
  <c r="L902" i="1"/>
  <c r="J902" i="1"/>
  <c r="O901" i="1"/>
  <c r="L901" i="1"/>
  <c r="J901" i="1"/>
  <c r="O900" i="1"/>
  <c r="L900" i="1"/>
  <c r="J900" i="1"/>
  <c r="O899" i="1"/>
  <c r="L899" i="1"/>
  <c r="J899" i="1"/>
  <c r="O898" i="1"/>
  <c r="L898" i="1"/>
  <c r="J898" i="1"/>
  <c r="O897" i="1"/>
  <c r="L897" i="1"/>
  <c r="J897" i="1"/>
  <c r="O896" i="1"/>
  <c r="L896" i="1"/>
  <c r="J896" i="1"/>
  <c r="O895" i="1"/>
  <c r="L895" i="1"/>
  <c r="J895" i="1"/>
  <c r="O894" i="1"/>
  <c r="L894" i="1"/>
  <c r="J894" i="1"/>
  <c r="O893" i="1"/>
  <c r="L893" i="1"/>
  <c r="J893" i="1"/>
  <c r="O892" i="1"/>
  <c r="L892" i="1"/>
  <c r="J892" i="1"/>
  <c r="O891" i="1"/>
  <c r="L891" i="1"/>
  <c r="J891" i="1"/>
  <c r="O890" i="1"/>
  <c r="L890" i="1"/>
  <c r="J890" i="1"/>
  <c r="O889" i="1"/>
  <c r="L889" i="1"/>
  <c r="J889" i="1"/>
  <c r="O888" i="1"/>
  <c r="L888" i="1"/>
  <c r="J888" i="1"/>
  <c r="O887" i="1"/>
  <c r="L887" i="1"/>
  <c r="J887" i="1"/>
  <c r="O886" i="1"/>
  <c r="L886" i="1"/>
  <c r="J886" i="1"/>
  <c r="O885" i="1"/>
  <c r="L885" i="1"/>
  <c r="J885" i="1"/>
  <c r="O884" i="1"/>
  <c r="L884" i="1"/>
  <c r="J884" i="1"/>
  <c r="O883" i="1"/>
  <c r="L883" i="1"/>
  <c r="J883" i="1"/>
  <c r="O882" i="1"/>
  <c r="L882" i="1"/>
  <c r="J882" i="1"/>
  <c r="O881" i="1"/>
  <c r="L881" i="1"/>
  <c r="J881" i="1"/>
  <c r="O880" i="1"/>
  <c r="L880" i="1"/>
  <c r="J880" i="1"/>
  <c r="O879" i="1"/>
  <c r="L879" i="1"/>
  <c r="J879" i="1"/>
  <c r="O878" i="1"/>
  <c r="L878" i="1"/>
  <c r="J878" i="1"/>
  <c r="O877" i="1"/>
  <c r="L877" i="1"/>
  <c r="J877" i="1"/>
  <c r="O876" i="1"/>
  <c r="L876" i="1"/>
  <c r="J876" i="1"/>
  <c r="O875" i="1"/>
  <c r="L875" i="1"/>
  <c r="J875" i="1"/>
  <c r="O874" i="1"/>
  <c r="L874" i="1"/>
  <c r="J874" i="1"/>
  <c r="O873" i="1"/>
  <c r="L873" i="1"/>
  <c r="J873" i="1"/>
  <c r="O872" i="1"/>
  <c r="L872" i="1"/>
  <c r="J872" i="1"/>
  <c r="O871" i="1"/>
  <c r="L871" i="1"/>
  <c r="J871" i="1"/>
  <c r="O870" i="1"/>
  <c r="L870" i="1"/>
  <c r="J870" i="1"/>
  <c r="O869" i="1"/>
  <c r="L869" i="1"/>
  <c r="J869" i="1"/>
  <c r="O868" i="1"/>
  <c r="L868" i="1"/>
  <c r="J868" i="1"/>
  <c r="O867" i="1"/>
  <c r="L867" i="1"/>
  <c r="J867" i="1"/>
  <c r="O866" i="1"/>
  <c r="L866" i="1"/>
  <c r="J866" i="1"/>
  <c r="O865" i="1"/>
  <c r="L865" i="1"/>
  <c r="J865" i="1"/>
  <c r="O864" i="1"/>
  <c r="L864" i="1"/>
  <c r="J864" i="1"/>
  <c r="O863" i="1"/>
  <c r="L863" i="1"/>
  <c r="J863" i="1"/>
  <c r="O862" i="1"/>
  <c r="L862" i="1"/>
  <c r="J862" i="1"/>
  <c r="O861" i="1"/>
  <c r="L861" i="1"/>
  <c r="J861" i="1"/>
  <c r="O860" i="1"/>
  <c r="L860" i="1"/>
  <c r="J860" i="1"/>
  <c r="O859" i="1"/>
  <c r="L859" i="1"/>
  <c r="J859" i="1"/>
  <c r="O858" i="1"/>
  <c r="L858" i="1"/>
  <c r="J858" i="1"/>
  <c r="O857" i="1"/>
  <c r="L857" i="1"/>
  <c r="J857" i="1"/>
  <c r="O856" i="1"/>
  <c r="L856" i="1"/>
  <c r="J856" i="1"/>
  <c r="O855" i="1"/>
  <c r="L855" i="1"/>
  <c r="J855" i="1"/>
  <c r="O854" i="1"/>
  <c r="L854" i="1"/>
  <c r="J854" i="1"/>
  <c r="O853" i="1"/>
  <c r="L853" i="1"/>
  <c r="J853" i="1"/>
  <c r="O852" i="1"/>
  <c r="L852" i="1"/>
  <c r="J852" i="1"/>
  <c r="O851" i="1"/>
  <c r="L851" i="1"/>
  <c r="J851" i="1"/>
  <c r="O850" i="1"/>
  <c r="L850" i="1"/>
  <c r="J850" i="1"/>
  <c r="O849" i="1"/>
  <c r="L849" i="1"/>
  <c r="J849" i="1"/>
  <c r="O848" i="1"/>
  <c r="L848" i="1"/>
  <c r="J848" i="1"/>
  <c r="O847" i="1"/>
  <c r="L847" i="1"/>
  <c r="J847" i="1"/>
  <c r="O846" i="1"/>
  <c r="L846" i="1"/>
  <c r="J846" i="1"/>
  <c r="O845" i="1"/>
  <c r="L845" i="1"/>
  <c r="J845" i="1"/>
  <c r="O844" i="1"/>
  <c r="L844" i="1"/>
  <c r="J844" i="1"/>
  <c r="O843" i="1"/>
  <c r="L843" i="1"/>
  <c r="J843" i="1"/>
  <c r="O842" i="1"/>
  <c r="L842" i="1"/>
  <c r="J842" i="1"/>
  <c r="O841" i="1"/>
  <c r="L841" i="1"/>
  <c r="J841" i="1"/>
  <c r="O840" i="1"/>
  <c r="L840" i="1"/>
  <c r="J840" i="1"/>
  <c r="O839" i="1"/>
  <c r="L839" i="1"/>
  <c r="J839" i="1"/>
  <c r="O838" i="1"/>
  <c r="L838" i="1"/>
  <c r="J838" i="1"/>
  <c r="O837" i="1"/>
  <c r="L837" i="1"/>
  <c r="J837" i="1"/>
  <c r="O836" i="1"/>
  <c r="L836" i="1"/>
  <c r="J836" i="1"/>
  <c r="O835" i="1"/>
  <c r="L835" i="1"/>
  <c r="J835" i="1"/>
  <c r="O834" i="1"/>
  <c r="L834" i="1"/>
  <c r="J834" i="1"/>
  <c r="O833" i="1"/>
  <c r="L833" i="1"/>
  <c r="J833" i="1"/>
  <c r="O832" i="1"/>
  <c r="L832" i="1"/>
  <c r="J832" i="1"/>
  <c r="O831" i="1"/>
  <c r="L831" i="1"/>
  <c r="J831" i="1"/>
  <c r="O830" i="1"/>
  <c r="L830" i="1"/>
  <c r="J830" i="1"/>
  <c r="O829" i="1"/>
  <c r="L829" i="1"/>
  <c r="J829" i="1"/>
  <c r="O828" i="1"/>
  <c r="L828" i="1"/>
  <c r="J828" i="1"/>
  <c r="O827" i="1"/>
  <c r="L827" i="1"/>
  <c r="J827" i="1"/>
  <c r="O826" i="1"/>
  <c r="L826" i="1"/>
  <c r="J826" i="1"/>
  <c r="O825" i="1"/>
  <c r="L825" i="1"/>
  <c r="J825" i="1"/>
  <c r="O824" i="1"/>
  <c r="L824" i="1"/>
  <c r="J824" i="1"/>
  <c r="O823" i="1"/>
  <c r="L823" i="1"/>
  <c r="J823" i="1"/>
  <c r="O822" i="1"/>
  <c r="L822" i="1"/>
  <c r="J822" i="1"/>
  <c r="O821" i="1"/>
  <c r="L821" i="1"/>
  <c r="J821" i="1"/>
  <c r="O820" i="1"/>
  <c r="L820" i="1"/>
  <c r="J820" i="1"/>
  <c r="O819" i="1"/>
  <c r="L819" i="1"/>
  <c r="J819" i="1"/>
  <c r="O818" i="1"/>
  <c r="L818" i="1"/>
  <c r="J818" i="1"/>
  <c r="O817" i="1"/>
  <c r="L817" i="1"/>
  <c r="J817" i="1"/>
  <c r="O816" i="1"/>
  <c r="L816" i="1"/>
  <c r="J816" i="1"/>
  <c r="O815" i="1"/>
  <c r="L815" i="1"/>
  <c r="J815" i="1"/>
  <c r="O814" i="1"/>
  <c r="L814" i="1"/>
  <c r="J814" i="1"/>
  <c r="O813" i="1"/>
  <c r="L813" i="1"/>
  <c r="J813" i="1"/>
  <c r="O812" i="1"/>
  <c r="L812" i="1"/>
  <c r="J812" i="1"/>
  <c r="O811" i="1"/>
  <c r="L811" i="1"/>
  <c r="J811" i="1"/>
  <c r="O810" i="1"/>
  <c r="L810" i="1"/>
  <c r="J810" i="1"/>
  <c r="O809" i="1"/>
  <c r="L809" i="1"/>
  <c r="J809" i="1"/>
  <c r="O808" i="1"/>
  <c r="L808" i="1"/>
  <c r="J808" i="1"/>
  <c r="O807" i="1"/>
  <c r="L807" i="1"/>
  <c r="J807" i="1"/>
  <c r="O806" i="1"/>
  <c r="L806" i="1"/>
  <c r="J806" i="1"/>
  <c r="O805" i="1"/>
  <c r="L805" i="1"/>
  <c r="J805" i="1"/>
  <c r="O804" i="1"/>
  <c r="L804" i="1"/>
  <c r="J804" i="1"/>
  <c r="O803" i="1"/>
  <c r="L803" i="1"/>
  <c r="J803" i="1"/>
  <c r="O802" i="1"/>
  <c r="L802" i="1"/>
  <c r="J802" i="1"/>
  <c r="O801" i="1"/>
  <c r="L801" i="1"/>
  <c r="J801" i="1"/>
  <c r="O800" i="1"/>
  <c r="L800" i="1"/>
  <c r="J800" i="1"/>
  <c r="O799" i="1"/>
  <c r="L799" i="1"/>
  <c r="J799" i="1"/>
  <c r="O798" i="1"/>
  <c r="L798" i="1"/>
  <c r="J798" i="1"/>
  <c r="O797" i="1"/>
  <c r="L797" i="1"/>
  <c r="J797" i="1"/>
  <c r="O796" i="1"/>
  <c r="L796" i="1"/>
  <c r="J796" i="1"/>
  <c r="O795" i="1"/>
  <c r="L795" i="1"/>
  <c r="J795" i="1"/>
  <c r="O794" i="1"/>
  <c r="L794" i="1"/>
  <c r="J794" i="1"/>
  <c r="O793" i="1"/>
  <c r="L793" i="1"/>
  <c r="J793" i="1"/>
  <c r="O792" i="1"/>
  <c r="L792" i="1"/>
  <c r="J792" i="1"/>
  <c r="O791" i="1"/>
  <c r="L791" i="1"/>
  <c r="J791" i="1"/>
  <c r="O790" i="1"/>
  <c r="L790" i="1"/>
  <c r="J790" i="1"/>
  <c r="O789" i="1"/>
  <c r="L789" i="1"/>
  <c r="J789" i="1"/>
  <c r="O788" i="1"/>
  <c r="L788" i="1"/>
  <c r="J788" i="1"/>
  <c r="O787" i="1"/>
  <c r="L787" i="1"/>
  <c r="J787" i="1"/>
  <c r="O786" i="1"/>
  <c r="L786" i="1"/>
  <c r="J786" i="1"/>
  <c r="O785" i="1"/>
  <c r="L785" i="1"/>
  <c r="J785" i="1"/>
  <c r="O784" i="1"/>
  <c r="L784" i="1"/>
  <c r="J784" i="1"/>
  <c r="O783" i="1"/>
  <c r="L783" i="1"/>
  <c r="J783" i="1"/>
  <c r="O782" i="1"/>
  <c r="L782" i="1"/>
  <c r="J782" i="1"/>
  <c r="O781" i="1"/>
  <c r="L781" i="1"/>
  <c r="J781" i="1"/>
  <c r="O780" i="1"/>
  <c r="L780" i="1"/>
  <c r="J780" i="1"/>
  <c r="O779" i="1"/>
  <c r="L779" i="1"/>
  <c r="J779" i="1"/>
  <c r="O778" i="1"/>
  <c r="L778" i="1"/>
  <c r="J778" i="1"/>
  <c r="O777" i="1"/>
  <c r="L777" i="1"/>
  <c r="J777" i="1"/>
  <c r="O776" i="1"/>
  <c r="L776" i="1"/>
  <c r="J776" i="1"/>
  <c r="O775" i="1"/>
  <c r="L775" i="1"/>
  <c r="J775" i="1"/>
  <c r="O774" i="1"/>
  <c r="L774" i="1"/>
  <c r="J774" i="1"/>
  <c r="O773" i="1"/>
  <c r="L773" i="1"/>
  <c r="J773" i="1"/>
  <c r="O772" i="1"/>
  <c r="L772" i="1"/>
  <c r="J772" i="1"/>
  <c r="O771" i="1"/>
  <c r="L771" i="1"/>
  <c r="J771" i="1"/>
  <c r="O770" i="1"/>
  <c r="L770" i="1"/>
  <c r="J770" i="1"/>
  <c r="O769" i="1"/>
  <c r="L769" i="1"/>
  <c r="J769" i="1"/>
  <c r="O768" i="1"/>
  <c r="L768" i="1"/>
  <c r="J768" i="1"/>
  <c r="O767" i="1"/>
  <c r="L767" i="1"/>
  <c r="J767" i="1"/>
  <c r="O766" i="1"/>
  <c r="L766" i="1"/>
  <c r="J766" i="1"/>
  <c r="O765" i="1"/>
  <c r="L765" i="1"/>
  <c r="J765" i="1"/>
  <c r="O764" i="1"/>
  <c r="L764" i="1"/>
  <c r="J764" i="1"/>
  <c r="O763" i="1"/>
  <c r="L763" i="1"/>
  <c r="J763" i="1"/>
  <c r="O762" i="1"/>
  <c r="L762" i="1"/>
  <c r="J762" i="1"/>
  <c r="O761" i="1"/>
  <c r="L761" i="1"/>
  <c r="J761" i="1"/>
  <c r="O760" i="1"/>
  <c r="L760" i="1"/>
  <c r="J760" i="1"/>
  <c r="O759" i="1"/>
  <c r="L759" i="1"/>
  <c r="J759" i="1"/>
  <c r="O758" i="1"/>
  <c r="L758" i="1"/>
  <c r="J758" i="1"/>
  <c r="O757" i="1"/>
  <c r="L757" i="1"/>
  <c r="J757" i="1"/>
  <c r="O756" i="1"/>
  <c r="L756" i="1"/>
  <c r="J756" i="1"/>
  <c r="O755" i="1"/>
  <c r="L755" i="1"/>
  <c r="J755" i="1"/>
  <c r="O754" i="1"/>
  <c r="L754" i="1"/>
  <c r="J754" i="1"/>
  <c r="O753" i="1"/>
  <c r="L753" i="1"/>
  <c r="J753" i="1"/>
  <c r="O752" i="1"/>
  <c r="L752" i="1"/>
  <c r="J752" i="1"/>
  <c r="O751" i="1"/>
  <c r="L751" i="1"/>
  <c r="J751" i="1"/>
  <c r="O750" i="1"/>
  <c r="L750" i="1"/>
  <c r="J750" i="1"/>
  <c r="O749" i="1"/>
  <c r="L749" i="1"/>
  <c r="J749" i="1"/>
  <c r="O748" i="1"/>
  <c r="L748" i="1"/>
  <c r="J748" i="1"/>
  <c r="O747" i="1"/>
  <c r="L747" i="1"/>
  <c r="J747" i="1"/>
  <c r="O746" i="1"/>
  <c r="L746" i="1"/>
  <c r="J746" i="1"/>
  <c r="O745" i="1"/>
  <c r="L745" i="1"/>
  <c r="J745" i="1"/>
  <c r="O744" i="1"/>
  <c r="L744" i="1"/>
  <c r="J744" i="1"/>
  <c r="O743" i="1"/>
  <c r="L743" i="1"/>
  <c r="J743" i="1"/>
  <c r="O742" i="1"/>
  <c r="L742" i="1"/>
  <c r="J742" i="1"/>
  <c r="O741" i="1"/>
  <c r="L741" i="1"/>
  <c r="J741" i="1"/>
  <c r="O740" i="1"/>
  <c r="L740" i="1"/>
  <c r="J740" i="1"/>
  <c r="O739" i="1"/>
  <c r="L739" i="1"/>
  <c r="J739" i="1"/>
  <c r="O738" i="1"/>
  <c r="L738" i="1"/>
  <c r="J738" i="1"/>
  <c r="O737" i="1"/>
  <c r="L737" i="1"/>
  <c r="J737" i="1"/>
  <c r="O736" i="1"/>
  <c r="L736" i="1"/>
  <c r="J736" i="1"/>
  <c r="O735" i="1"/>
  <c r="L735" i="1"/>
  <c r="J735" i="1"/>
  <c r="O734" i="1"/>
  <c r="L734" i="1"/>
  <c r="J734" i="1"/>
  <c r="O733" i="1"/>
  <c r="L733" i="1"/>
  <c r="J733" i="1"/>
  <c r="O732" i="1"/>
  <c r="L732" i="1"/>
  <c r="J732" i="1"/>
  <c r="O731" i="1"/>
  <c r="L731" i="1"/>
  <c r="J731" i="1"/>
  <c r="O730" i="1"/>
  <c r="L730" i="1"/>
  <c r="J730" i="1"/>
  <c r="O729" i="1"/>
  <c r="L729" i="1"/>
  <c r="J729" i="1"/>
  <c r="O728" i="1"/>
  <c r="L728" i="1"/>
  <c r="J728" i="1"/>
  <c r="O727" i="1"/>
  <c r="L727" i="1"/>
  <c r="J727" i="1"/>
  <c r="O726" i="1"/>
  <c r="L726" i="1"/>
  <c r="J726" i="1"/>
  <c r="O725" i="1"/>
  <c r="L725" i="1"/>
  <c r="J725" i="1"/>
  <c r="O724" i="1"/>
  <c r="L724" i="1"/>
  <c r="J724" i="1"/>
  <c r="O723" i="1"/>
  <c r="L723" i="1"/>
  <c r="J723" i="1"/>
  <c r="O722" i="1"/>
  <c r="L722" i="1"/>
  <c r="J722" i="1"/>
  <c r="O721" i="1"/>
  <c r="L721" i="1"/>
  <c r="J721" i="1"/>
  <c r="O720" i="1"/>
  <c r="L720" i="1"/>
  <c r="J720" i="1"/>
  <c r="O719" i="1"/>
  <c r="L719" i="1"/>
  <c r="J719" i="1"/>
  <c r="O718" i="1"/>
  <c r="L718" i="1"/>
  <c r="J718" i="1"/>
  <c r="O717" i="1"/>
  <c r="L717" i="1"/>
  <c r="J717" i="1"/>
  <c r="O716" i="1"/>
  <c r="L716" i="1"/>
  <c r="J716" i="1"/>
  <c r="O715" i="1"/>
  <c r="L715" i="1"/>
  <c r="J715" i="1"/>
  <c r="O714" i="1"/>
  <c r="L714" i="1"/>
  <c r="J714" i="1"/>
  <c r="O713" i="1"/>
  <c r="L713" i="1"/>
  <c r="J713" i="1"/>
  <c r="O712" i="1"/>
  <c r="L712" i="1"/>
  <c r="J712" i="1"/>
  <c r="O711" i="1"/>
  <c r="L711" i="1"/>
  <c r="J711" i="1"/>
  <c r="O710" i="1"/>
  <c r="L710" i="1"/>
  <c r="J710" i="1"/>
  <c r="O709" i="1"/>
  <c r="L709" i="1"/>
  <c r="J709" i="1"/>
  <c r="O708" i="1"/>
  <c r="L708" i="1"/>
  <c r="J708" i="1"/>
  <c r="O707" i="1"/>
  <c r="L707" i="1"/>
  <c r="J707" i="1"/>
  <c r="O706" i="1"/>
  <c r="L706" i="1"/>
  <c r="J706" i="1"/>
  <c r="O705" i="1"/>
  <c r="L705" i="1"/>
  <c r="J705" i="1"/>
  <c r="O704" i="1"/>
  <c r="L704" i="1"/>
  <c r="J704" i="1"/>
  <c r="O703" i="1"/>
  <c r="L703" i="1"/>
  <c r="J703" i="1"/>
  <c r="O702" i="1"/>
  <c r="L702" i="1"/>
  <c r="J702" i="1"/>
  <c r="O701" i="1"/>
  <c r="L701" i="1"/>
  <c r="J701" i="1"/>
  <c r="O700" i="1"/>
  <c r="L700" i="1"/>
  <c r="J700" i="1"/>
  <c r="O699" i="1"/>
  <c r="L699" i="1"/>
  <c r="J699" i="1"/>
  <c r="O698" i="1"/>
  <c r="L698" i="1"/>
  <c r="J698" i="1"/>
  <c r="O697" i="1"/>
  <c r="L697" i="1"/>
  <c r="J697" i="1"/>
  <c r="O696" i="1"/>
  <c r="L696" i="1"/>
  <c r="J696" i="1"/>
  <c r="O695" i="1"/>
  <c r="L695" i="1"/>
  <c r="J695" i="1"/>
  <c r="O694" i="1"/>
  <c r="L694" i="1"/>
  <c r="J694" i="1"/>
  <c r="O693" i="1"/>
  <c r="L693" i="1"/>
  <c r="J693" i="1"/>
  <c r="O692" i="1"/>
  <c r="L692" i="1"/>
  <c r="J692" i="1"/>
  <c r="O691" i="1"/>
  <c r="L691" i="1"/>
  <c r="J691" i="1"/>
  <c r="O690" i="1"/>
  <c r="L690" i="1"/>
  <c r="J690" i="1"/>
  <c r="O689" i="1"/>
  <c r="L689" i="1"/>
  <c r="J689" i="1"/>
  <c r="O688" i="1"/>
  <c r="L688" i="1"/>
  <c r="J688" i="1"/>
  <c r="O687" i="1"/>
  <c r="L687" i="1"/>
  <c r="J687" i="1"/>
  <c r="O686" i="1"/>
  <c r="L686" i="1"/>
  <c r="J686" i="1"/>
  <c r="O685" i="1"/>
  <c r="L685" i="1"/>
  <c r="J685" i="1"/>
  <c r="O684" i="1"/>
  <c r="L684" i="1"/>
  <c r="J684" i="1"/>
  <c r="O683" i="1"/>
  <c r="L683" i="1"/>
  <c r="J683" i="1"/>
  <c r="O682" i="1"/>
  <c r="L682" i="1"/>
  <c r="J682" i="1"/>
  <c r="O681" i="1"/>
  <c r="L681" i="1"/>
  <c r="J681" i="1"/>
  <c r="O680" i="1"/>
  <c r="L680" i="1"/>
  <c r="J680" i="1"/>
  <c r="O679" i="1"/>
  <c r="L679" i="1"/>
  <c r="J679" i="1"/>
  <c r="O678" i="1"/>
  <c r="L678" i="1"/>
  <c r="J678" i="1"/>
  <c r="O677" i="1"/>
  <c r="L677" i="1"/>
  <c r="J677" i="1"/>
  <c r="O676" i="1"/>
  <c r="L676" i="1"/>
  <c r="J676" i="1"/>
  <c r="O675" i="1"/>
  <c r="L675" i="1"/>
  <c r="J675" i="1"/>
  <c r="O674" i="1"/>
  <c r="L674" i="1"/>
  <c r="J674" i="1"/>
  <c r="O673" i="1"/>
  <c r="L673" i="1"/>
  <c r="J673" i="1"/>
  <c r="O672" i="1"/>
  <c r="L672" i="1"/>
  <c r="J672" i="1"/>
  <c r="O671" i="1"/>
  <c r="L671" i="1"/>
  <c r="J671" i="1"/>
  <c r="O670" i="1"/>
  <c r="L670" i="1"/>
  <c r="J670" i="1"/>
  <c r="O669" i="1"/>
  <c r="L669" i="1"/>
  <c r="J669" i="1"/>
  <c r="O668" i="1"/>
  <c r="L668" i="1"/>
  <c r="J668" i="1"/>
  <c r="O667" i="1"/>
  <c r="L667" i="1"/>
  <c r="J667" i="1"/>
  <c r="O666" i="1"/>
  <c r="L666" i="1"/>
  <c r="J666" i="1"/>
  <c r="O665" i="1"/>
  <c r="L665" i="1"/>
  <c r="J665" i="1"/>
  <c r="O664" i="1"/>
  <c r="L664" i="1"/>
  <c r="J664" i="1"/>
  <c r="O663" i="1"/>
  <c r="L663" i="1"/>
  <c r="J663" i="1"/>
  <c r="O662" i="1"/>
  <c r="L662" i="1"/>
  <c r="J662" i="1"/>
  <c r="O661" i="1"/>
  <c r="L661" i="1"/>
  <c r="J661" i="1"/>
  <c r="O660" i="1"/>
  <c r="L660" i="1"/>
  <c r="J660" i="1"/>
  <c r="O659" i="1"/>
  <c r="L659" i="1"/>
  <c r="J659" i="1"/>
  <c r="O658" i="1"/>
  <c r="L658" i="1"/>
  <c r="J658" i="1"/>
  <c r="O657" i="1"/>
  <c r="L657" i="1"/>
  <c r="J657" i="1"/>
  <c r="O656" i="1"/>
  <c r="L656" i="1"/>
  <c r="J656" i="1"/>
  <c r="O655" i="1"/>
  <c r="L655" i="1"/>
  <c r="J655" i="1"/>
  <c r="O654" i="1"/>
  <c r="L654" i="1"/>
  <c r="J654" i="1"/>
  <c r="O653" i="1"/>
  <c r="L653" i="1"/>
  <c r="J653" i="1"/>
  <c r="O652" i="1"/>
  <c r="L652" i="1"/>
  <c r="J652" i="1"/>
  <c r="O651" i="1"/>
  <c r="L651" i="1"/>
  <c r="J651" i="1"/>
  <c r="O650" i="1"/>
  <c r="L650" i="1"/>
  <c r="J650" i="1"/>
  <c r="O649" i="1"/>
  <c r="L649" i="1"/>
  <c r="J649" i="1"/>
  <c r="O648" i="1"/>
  <c r="L648" i="1"/>
  <c r="J648" i="1"/>
  <c r="O647" i="1"/>
  <c r="L647" i="1"/>
  <c r="J647" i="1"/>
  <c r="O646" i="1"/>
  <c r="L646" i="1"/>
  <c r="J646" i="1"/>
  <c r="O645" i="1"/>
  <c r="L645" i="1"/>
  <c r="J645" i="1"/>
  <c r="O644" i="1"/>
  <c r="L644" i="1"/>
  <c r="J644" i="1"/>
  <c r="O643" i="1"/>
  <c r="L643" i="1"/>
  <c r="J643" i="1"/>
  <c r="O642" i="1"/>
  <c r="L642" i="1"/>
  <c r="J642" i="1"/>
  <c r="O641" i="1"/>
  <c r="L641" i="1"/>
  <c r="J641" i="1"/>
  <c r="O640" i="1"/>
  <c r="L640" i="1"/>
  <c r="J640" i="1"/>
  <c r="O639" i="1"/>
  <c r="L639" i="1"/>
  <c r="J639" i="1"/>
  <c r="O638" i="1"/>
  <c r="L638" i="1"/>
  <c r="J638" i="1"/>
  <c r="O637" i="1"/>
  <c r="L637" i="1"/>
  <c r="J637" i="1"/>
  <c r="O636" i="1"/>
  <c r="L636" i="1"/>
  <c r="J636" i="1"/>
  <c r="O635" i="1"/>
  <c r="L635" i="1"/>
  <c r="J635" i="1"/>
  <c r="O634" i="1"/>
  <c r="L634" i="1"/>
  <c r="J634" i="1"/>
  <c r="O633" i="1"/>
  <c r="L633" i="1"/>
  <c r="J633" i="1"/>
  <c r="O632" i="1"/>
  <c r="L632" i="1"/>
  <c r="J632" i="1"/>
  <c r="O631" i="1"/>
  <c r="L631" i="1"/>
  <c r="J631" i="1"/>
  <c r="O630" i="1"/>
  <c r="L630" i="1"/>
  <c r="J630" i="1"/>
  <c r="O629" i="1"/>
  <c r="L629" i="1"/>
  <c r="J629" i="1"/>
  <c r="O628" i="1"/>
  <c r="L628" i="1"/>
  <c r="J628" i="1"/>
  <c r="O627" i="1"/>
  <c r="L627" i="1"/>
  <c r="J627" i="1"/>
  <c r="O626" i="1"/>
  <c r="L626" i="1"/>
  <c r="J626" i="1"/>
  <c r="O625" i="1"/>
  <c r="L625" i="1"/>
  <c r="J625" i="1"/>
  <c r="O624" i="1"/>
  <c r="L624" i="1"/>
  <c r="J624" i="1"/>
  <c r="O623" i="1"/>
  <c r="L623" i="1"/>
  <c r="J623" i="1"/>
  <c r="O622" i="1"/>
  <c r="L622" i="1"/>
  <c r="J622" i="1"/>
  <c r="O621" i="1"/>
  <c r="L621" i="1"/>
  <c r="J621" i="1"/>
  <c r="O620" i="1"/>
  <c r="L620" i="1"/>
  <c r="J620" i="1"/>
  <c r="O619" i="1"/>
  <c r="L619" i="1"/>
  <c r="J619" i="1"/>
  <c r="O618" i="1"/>
  <c r="L618" i="1"/>
  <c r="J618" i="1"/>
  <c r="O617" i="1"/>
  <c r="L617" i="1"/>
  <c r="J617" i="1"/>
  <c r="O616" i="1"/>
  <c r="L616" i="1"/>
  <c r="J616" i="1"/>
  <c r="O615" i="1"/>
  <c r="L615" i="1"/>
  <c r="J615" i="1"/>
  <c r="O614" i="1"/>
  <c r="L614" i="1"/>
  <c r="J614" i="1"/>
  <c r="O613" i="1"/>
  <c r="L613" i="1"/>
  <c r="J613" i="1"/>
  <c r="O612" i="1"/>
  <c r="L612" i="1"/>
  <c r="J612" i="1"/>
  <c r="O611" i="1"/>
  <c r="L611" i="1"/>
  <c r="J611" i="1"/>
  <c r="O610" i="1"/>
  <c r="L610" i="1"/>
  <c r="J610" i="1"/>
  <c r="O609" i="1"/>
  <c r="L609" i="1"/>
  <c r="J609" i="1"/>
  <c r="O608" i="1"/>
  <c r="L608" i="1"/>
  <c r="J608" i="1"/>
  <c r="O607" i="1"/>
  <c r="L607" i="1"/>
  <c r="J607" i="1"/>
  <c r="O606" i="1"/>
  <c r="L606" i="1"/>
  <c r="J606" i="1"/>
  <c r="O605" i="1"/>
  <c r="L605" i="1"/>
  <c r="J605" i="1"/>
  <c r="O604" i="1"/>
  <c r="L604" i="1"/>
  <c r="J604" i="1"/>
  <c r="O603" i="1"/>
  <c r="L603" i="1"/>
  <c r="J603" i="1"/>
  <c r="O602" i="1"/>
  <c r="L602" i="1"/>
  <c r="J602" i="1"/>
  <c r="O601" i="1"/>
  <c r="L601" i="1"/>
  <c r="J601" i="1"/>
  <c r="O600" i="1"/>
  <c r="L600" i="1"/>
  <c r="J600" i="1"/>
  <c r="O599" i="1"/>
  <c r="L599" i="1"/>
  <c r="J599" i="1"/>
  <c r="O598" i="1"/>
  <c r="L598" i="1"/>
  <c r="J598" i="1"/>
  <c r="O597" i="1"/>
  <c r="L597" i="1"/>
  <c r="J597" i="1"/>
  <c r="O596" i="1"/>
  <c r="L596" i="1"/>
  <c r="J596" i="1"/>
  <c r="O595" i="1"/>
  <c r="L595" i="1"/>
  <c r="J595" i="1"/>
  <c r="O594" i="1"/>
  <c r="L594" i="1"/>
  <c r="J594" i="1"/>
  <c r="O593" i="1"/>
  <c r="L593" i="1"/>
  <c r="J593" i="1"/>
  <c r="O592" i="1"/>
  <c r="L592" i="1"/>
  <c r="J592" i="1"/>
  <c r="O591" i="1"/>
  <c r="L591" i="1"/>
  <c r="J591" i="1"/>
  <c r="O590" i="1"/>
  <c r="L590" i="1"/>
  <c r="J590" i="1"/>
  <c r="O589" i="1"/>
  <c r="L589" i="1"/>
  <c r="J589" i="1"/>
  <c r="O588" i="1"/>
  <c r="L588" i="1"/>
  <c r="J588" i="1"/>
  <c r="O587" i="1"/>
  <c r="L587" i="1"/>
  <c r="J587" i="1"/>
  <c r="O586" i="1"/>
  <c r="L586" i="1"/>
  <c r="J586" i="1"/>
  <c r="O585" i="1"/>
  <c r="L585" i="1"/>
  <c r="J585" i="1"/>
  <c r="O584" i="1"/>
  <c r="L584" i="1"/>
  <c r="J584" i="1"/>
  <c r="O583" i="1"/>
  <c r="L583" i="1"/>
  <c r="J583" i="1"/>
  <c r="O582" i="1"/>
  <c r="L582" i="1"/>
  <c r="J582" i="1"/>
  <c r="O581" i="1"/>
  <c r="L581" i="1"/>
  <c r="J581" i="1"/>
  <c r="O580" i="1"/>
  <c r="L580" i="1"/>
  <c r="J580" i="1"/>
  <c r="O579" i="1"/>
  <c r="L579" i="1"/>
  <c r="J579" i="1"/>
  <c r="O578" i="1"/>
  <c r="L578" i="1"/>
  <c r="J578" i="1"/>
  <c r="O577" i="1"/>
  <c r="L577" i="1"/>
  <c r="J577" i="1"/>
  <c r="O576" i="1"/>
  <c r="L576" i="1"/>
  <c r="J576" i="1"/>
  <c r="O575" i="1"/>
  <c r="L575" i="1"/>
  <c r="J575" i="1"/>
  <c r="O574" i="1"/>
  <c r="L574" i="1"/>
  <c r="J574" i="1"/>
  <c r="O573" i="1"/>
  <c r="L573" i="1"/>
  <c r="J573" i="1"/>
  <c r="O572" i="1"/>
  <c r="L572" i="1"/>
  <c r="J572" i="1"/>
  <c r="O571" i="1"/>
  <c r="L571" i="1"/>
  <c r="J571" i="1"/>
  <c r="O570" i="1"/>
  <c r="L570" i="1"/>
  <c r="J570" i="1"/>
  <c r="O569" i="1"/>
  <c r="L569" i="1"/>
  <c r="J569" i="1"/>
  <c r="O568" i="1"/>
  <c r="L568" i="1"/>
  <c r="J568" i="1"/>
  <c r="O567" i="1"/>
  <c r="L567" i="1"/>
  <c r="J567" i="1"/>
  <c r="O566" i="1"/>
  <c r="L566" i="1"/>
  <c r="J566" i="1"/>
  <c r="O565" i="1"/>
  <c r="L565" i="1"/>
  <c r="J565" i="1"/>
  <c r="O564" i="1"/>
  <c r="L564" i="1"/>
  <c r="J564" i="1"/>
  <c r="O563" i="1"/>
  <c r="L563" i="1"/>
  <c r="J563" i="1"/>
  <c r="O562" i="1"/>
  <c r="L562" i="1"/>
  <c r="J562" i="1"/>
  <c r="O561" i="1"/>
  <c r="L561" i="1"/>
  <c r="J561" i="1"/>
  <c r="O560" i="1"/>
  <c r="L560" i="1"/>
  <c r="J560" i="1"/>
  <c r="O559" i="1"/>
  <c r="L559" i="1"/>
  <c r="J559" i="1"/>
  <c r="O558" i="1"/>
  <c r="L558" i="1"/>
  <c r="J558" i="1"/>
  <c r="O557" i="1"/>
  <c r="L557" i="1"/>
  <c r="J557" i="1"/>
  <c r="O556" i="1"/>
  <c r="L556" i="1"/>
  <c r="J556" i="1"/>
  <c r="O555" i="1"/>
  <c r="L555" i="1"/>
  <c r="J555" i="1"/>
  <c r="O554" i="1"/>
  <c r="L554" i="1"/>
  <c r="J554" i="1"/>
  <c r="O553" i="1"/>
  <c r="L553" i="1"/>
  <c r="J553" i="1"/>
  <c r="O552" i="1"/>
  <c r="L552" i="1"/>
  <c r="J552" i="1"/>
  <c r="O551" i="1"/>
  <c r="L551" i="1"/>
  <c r="J551" i="1"/>
  <c r="O550" i="1"/>
  <c r="L550" i="1"/>
  <c r="J550" i="1"/>
  <c r="O549" i="1"/>
  <c r="L549" i="1"/>
  <c r="J549" i="1"/>
  <c r="O548" i="1"/>
  <c r="L548" i="1"/>
  <c r="J548" i="1"/>
  <c r="O547" i="1"/>
  <c r="L547" i="1"/>
  <c r="J547" i="1"/>
  <c r="O546" i="1"/>
  <c r="L546" i="1"/>
  <c r="J546" i="1"/>
  <c r="O545" i="1"/>
  <c r="L545" i="1"/>
  <c r="J545" i="1"/>
  <c r="O544" i="1"/>
  <c r="L544" i="1"/>
  <c r="J544" i="1"/>
  <c r="O543" i="1"/>
  <c r="L543" i="1"/>
  <c r="J543" i="1"/>
  <c r="O542" i="1"/>
  <c r="L542" i="1"/>
  <c r="J542" i="1"/>
  <c r="O541" i="1"/>
  <c r="L541" i="1"/>
  <c r="J541" i="1"/>
  <c r="O540" i="1"/>
  <c r="L540" i="1"/>
  <c r="J540" i="1"/>
  <c r="O539" i="1"/>
  <c r="L539" i="1"/>
  <c r="J539" i="1"/>
  <c r="O538" i="1"/>
  <c r="L538" i="1"/>
  <c r="J538" i="1"/>
  <c r="O537" i="1"/>
  <c r="L537" i="1"/>
  <c r="J537" i="1"/>
  <c r="O536" i="1"/>
  <c r="L536" i="1"/>
  <c r="J536" i="1"/>
  <c r="O535" i="1"/>
  <c r="L535" i="1"/>
  <c r="J535" i="1"/>
  <c r="O534" i="1"/>
  <c r="L534" i="1"/>
  <c r="J534" i="1"/>
  <c r="O533" i="1"/>
  <c r="L533" i="1"/>
  <c r="J533" i="1"/>
  <c r="O532" i="1"/>
  <c r="L532" i="1"/>
  <c r="J532" i="1"/>
  <c r="O531" i="1"/>
  <c r="L531" i="1"/>
  <c r="J531" i="1"/>
  <c r="O530" i="1"/>
  <c r="L530" i="1"/>
  <c r="J530" i="1"/>
  <c r="O529" i="1"/>
  <c r="L529" i="1"/>
  <c r="J529" i="1"/>
  <c r="O528" i="1"/>
  <c r="L528" i="1"/>
  <c r="J528" i="1"/>
  <c r="O527" i="1"/>
  <c r="L527" i="1"/>
  <c r="J527" i="1"/>
  <c r="O526" i="1"/>
  <c r="L526" i="1"/>
  <c r="J526" i="1"/>
  <c r="O525" i="1"/>
  <c r="L525" i="1"/>
  <c r="J525" i="1"/>
  <c r="O524" i="1"/>
  <c r="L524" i="1"/>
  <c r="J524" i="1"/>
  <c r="O523" i="1"/>
  <c r="L523" i="1"/>
  <c r="J523" i="1"/>
  <c r="O522" i="1"/>
  <c r="L522" i="1"/>
  <c r="J522" i="1"/>
  <c r="O521" i="1"/>
  <c r="L521" i="1"/>
  <c r="J521" i="1"/>
  <c r="O520" i="1"/>
  <c r="L520" i="1"/>
  <c r="J520" i="1"/>
  <c r="O519" i="1"/>
  <c r="L519" i="1"/>
  <c r="J519" i="1"/>
  <c r="O518" i="1"/>
  <c r="L518" i="1"/>
  <c r="J518" i="1"/>
  <c r="O517" i="1"/>
  <c r="L517" i="1"/>
  <c r="J517" i="1"/>
  <c r="O516" i="1"/>
  <c r="L516" i="1"/>
  <c r="J516" i="1"/>
  <c r="O515" i="1"/>
  <c r="L515" i="1"/>
  <c r="J515" i="1"/>
  <c r="O514" i="1"/>
  <c r="L514" i="1"/>
  <c r="J514" i="1"/>
  <c r="O513" i="1"/>
  <c r="L513" i="1"/>
  <c r="J513" i="1"/>
  <c r="O512" i="1"/>
  <c r="L512" i="1"/>
  <c r="J512" i="1"/>
  <c r="O511" i="1"/>
  <c r="L511" i="1"/>
  <c r="J511" i="1"/>
  <c r="O510" i="1"/>
  <c r="L510" i="1"/>
  <c r="J510" i="1"/>
  <c r="O509" i="1"/>
  <c r="L509" i="1"/>
  <c r="J509" i="1"/>
  <c r="O508" i="1"/>
  <c r="L508" i="1"/>
  <c r="J508" i="1"/>
  <c r="O507" i="1"/>
  <c r="L507" i="1"/>
  <c r="J507" i="1"/>
  <c r="O506" i="1"/>
  <c r="L506" i="1"/>
  <c r="J506" i="1"/>
  <c r="O505" i="1"/>
  <c r="L505" i="1"/>
  <c r="J505" i="1"/>
  <c r="O504" i="1"/>
  <c r="L504" i="1"/>
  <c r="J504" i="1"/>
  <c r="O503" i="1"/>
  <c r="L503" i="1"/>
  <c r="J503" i="1"/>
  <c r="O502" i="1"/>
  <c r="L502" i="1"/>
  <c r="J502" i="1"/>
  <c r="O501" i="1"/>
  <c r="L501" i="1"/>
  <c r="J501" i="1"/>
  <c r="O500" i="1"/>
  <c r="L500" i="1"/>
  <c r="J500" i="1"/>
  <c r="O499" i="1"/>
  <c r="L499" i="1"/>
  <c r="J499" i="1"/>
  <c r="O498" i="1"/>
  <c r="L498" i="1"/>
  <c r="J498" i="1"/>
  <c r="O497" i="1"/>
  <c r="L497" i="1"/>
  <c r="J497" i="1"/>
  <c r="O496" i="1"/>
  <c r="L496" i="1"/>
  <c r="J496" i="1"/>
  <c r="O495" i="1"/>
  <c r="L495" i="1"/>
  <c r="J495" i="1"/>
  <c r="O494" i="1"/>
  <c r="L494" i="1"/>
  <c r="J494" i="1"/>
  <c r="O493" i="1"/>
  <c r="L493" i="1"/>
  <c r="J493" i="1"/>
  <c r="O492" i="1"/>
  <c r="L492" i="1"/>
  <c r="J492" i="1"/>
  <c r="O491" i="1"/>
  <c r="L491" i="1"/>
  <c r="J491" i="1"/>
  <c r="O490" i="1"/>
  <c r="L490" i="1"/>
  <c r="J490" i="1"/>
  <c r="O489" i="1"/>
  <c r="L489" i="1"/>
  <c r="J489" i="1"/>
  <c r="O488" i="1"/>
  <c r="L488" i="1"/>
  <c r="J488" i="1"/>
  <c r="O487" i="1"/>
  <c r="L487" i="1"/>
  <c r="J487" i="1"/>
  <c r="O486" i="1"/>
  <c r="L486" i="1"/>
  <c r="J486" i="1"/>
  <c r="O485" i="1"/>
  <c r="L485" i="1"/>
  <c r="J485" i="1"/>
  <c r="O484" i="1"/>
  <c r="L484" i="1"/>
  <c r="J484" i="1"/>
  <c r="O483" i="1"/>
  <c r="L483" i="1"/>
  <c r="J483" i="1"/>
  <c r="O482" i="1"/>
  <c r="L482" i="1"/>
  <c r="J482" i="1"/>
  <c r="O481" i="1"/>
  <c r="L481" i="1"/>
  <c r="J481" i="1"/>
  <c r="O480" i="1"/>
  <c r="L480" i="1"/>
  <c r="J480" i="1"/>
  <c r="O479" i="1"/>
  <c r="L479" i="1"/>
  <c r="J479" i="1"/>
  <c r="O478" i="1"/>
  <c r="L478" i="1"/>
  <c r="J478" i="1"/>
  <c r="O477" i="1"/>
  <c r="L477" i="1"/>
  <c r="J477" i="1"/>
  <c r="O476" i="1"/>
  <c r="L476" i="1"/>
  <c r="J476" i="1"/>
  <c r="O475" i="1"/>
  <c r="L475" i="1"/>
  <c r="J475" i="1"/>
  <c r="O474" i="1"/>
  <c r="L474" i="1"/>
  <c r="J474" i="1"/>
  <c r="O473" i="1"/>
  <c r="L473" i="1"/>
  <c r="J473" i="1"/>
  <c r="O472" i="1"/>
  <c r="L472" i="1"/>
  <c r="J472" i="1"/>
  <c r="O471" i="1"/>
  <c r="L471" i="1"/>
  <c r="J471" i="1"/>
  <c r="O470" i="1"/>
  <c r="L470" i="1"/>
  <c r="J470" i="1"/>
  <c r="O469" i="1"/>
  <c r="L469" i="1"/>
  <c r="J469" i="1"/>
  <c r="O468" i="1"/>
  <c r="L468" i="1"/>
  <c r="J468" i="1"/>
  <c r="O467" i="1"/>
  <c r="L467" i="1"/>
  <c r="J467" i="1"/>
  <c r="O466" i="1"/>
  <c r="L466" i="1"/>
  <c r="J466" i="1"/>
  <c r="O465" i="1"/>
  <c r="L465" i="1"/>
  <c r="J465" i="1"/>
  <c r="O464" i="1"/>
  <c r="L464" i="1"/>
  <c r="J464" i="1"/>
  <c r="O463" i="1"/>
  <c r="L463" i="1"/>
  <c r="J463" i="1"/>
  <c r="O462" i="1"/>
  <c r="L462" i="1"/>
  <c r="J462" i="1"/>
  <c r="O461" i="1"/>
  <c r="L461" i="1"/>
  <c r="J461" i="1"/>
  <c r="O460" i="1"/>
  <c r="L460" i="1"/>
  <c r="J460" i="1"/>
  <c r="O459" i="1"/>
  <c r="L459" i="1"/>
  <c r="J459" i="1"/>
  <c r="O458" i="1"/>
  <c r="L458" i="1"/>
  <c r="J458" i="1"/>
  <c r="O457" i="1"/>
  <c r="L457" i="1"/>
  <c r="J457" i="1"/>
  <c r="O456" i="1"/>
  <c r="L456" i="1"/>
  <c r="J456" i="1"/>
  <c r="O455" i="1"/>
  <c r="L455" i="1"/>
  <c r="J455" i="1"/>
  <c r="O454" i="1"/>
  <c r="L454" i="1"/>
  <c r="J454" i="1"/>
  <c r="O453" i="1"/>
  <c r="L453" i="1"/>
  <c r="J453" i="1"/>
  <c r="O452" i="1"/>
  <c r="L452" i="1"/>
  <c r="J452" i="1"/>
  <c r="O451" i="1"/>
  <c r="L451" i="1"/>
  <c r="J451" i="1"/>
  <c r="O450" i="1"/>
  <c r="L450" i="1"/>
  <c r="J450" i="1"/>
  <c r="O449" i="1"/>
  <c r="L449" i="1"/>
  <c r="J449" i="1"/>
  <c r="O448" i="1"/>
  <c r="L448" i="1"/>
  <c r="J448" i="1"/>
  <c r="O447" i="1"/>
  <c r="L447" i="1"/>
  <c r="J447" i="1"/>
  <c r="O446" i="1"/>
  <c r="L446" i="1"/>
  <c r="J446" i="1"/>
  <c r="O445" i="1"/>
  <c r="L445" i="1"/>
  <c r="J445" i="1"/>
  <c r="O444" i="1"/>
  <c r="L444" i="1"/>
  <c r="J444" i="1"/>
  <c r="O443" i="1"/>
  <c r="L443" i="1"/>
  <c r="J443" i="1"/>
  <c r="O442" i="1"/>
  <c r="L442" i="1"/>
  <c r="J442" i="1"/>
  <c r="O441" i="1"/>
  <c r="L441" i="1"/>
  <c r="J441" i="1"/>
  <c r="O440" i="1"/>
  <c r="L440" i="1"/>
  <c r="J440" i="1"/>
  <c r="O439" i="1"/>
  <c r="L439" i="1"/>
  <c r="J439" i="1"/>
  <c r="O438" i="1"/>
  <c r="L438" i="1"/>
  <c r="J438" i="1"/>
  <c r="O437" i="1"/>
  <c r="L437" i="1"/>
  <c r="J437" i="1"/>
  <c r="O436" i="1"/>
  <c r="L436" i="1"/>
  <c r="J436" i="1"/>
  <c r="O435" i="1"/>
  <c r="L435" i="1"/>
  <c r="J435" i="1"/>
  <c r="O434" i="1"/>
  <c r="L434" i="1"/>
  <c r="J434" i="1"/>
  <c r="O433" i="1"/>
  <c r="L433" i="1"/>
  <c r="J433" i="1"/>
  <c r="O432" i="1"/>
  <c r="L432" i="1"/>
  <c r="J432" i="1"/>
  <c r="O431" i="1"/>
  <c r="L431" i="1"/>
  <c r="J431" i="1"/>
  <c r="O430" i="1"/>
  <c r="L430" i="1"/>
  <c r="J430" i="1"/>
  <c r="O429" i="1"/>
  <c r="L429" i="1"/>
  <c r="J429" i="1"/>
  <c r="O428" i="1"/>
  <c r="L428" i="1"/>
  <c r="J428" i="1"/>
  <c r="O427" i="1"/>
  <c r="L427" i="1"/>
  <c r="J427" i="1"/>
  <c r="O426" i="1"/>
  <c r="L426" i="1"/>
  <c r="J426" i="1"/>
  <c r="O425" i="1"/>
  <c r="L425" i="1"/>
  <c r="J425" i="1"/>
  <c r="O424" i="1"/>
  <c r="L424" i="1"/>
  <c r="J424" i="1"/>
  <c r="O423" i="1"/>
  <c r="L423" i="1"/>
  <c r="J423" i="1"/>
  <c r="O422" i="1"/>
  <c r="L422" i="1"/>
  <c r="J422" i="1"/>
  <c r="O421" i="1"/>
  <c r="L421" i="1"/>
  <c r="J421" i="1"/>
  <c r="O420" i="1"/>
  <c r="L420" i="1"/>
  <c r="J420" i="1"/>
  <c r="O419" i="1"/>
  <c r="L419" i="1"/>
  <c r="J419" i="1"/>
  <c r="O418" i="1"/>
  <c r="L418" i="1"/>
  <c r="J418" i="1"/>
  <c r="O417" i="1"/>
  <c r="L417" i="1"/>
  <c r="J417" i="1"/>
  <c r="O416" i="1"/>
  <c r="L416" i="1"/>
  <c r="J416" i="1"/>
  <c r="O415" i="1"/>
  <c r="L415" i="1"/>
  <c r="J415" i="1"/>
  <c r="O414" i="1"/>
  <c r="L414" i="1"/>
  <c r="J414" i="1"/>
  <c r="O413" i="1"/>
  <c r="L413" i="1"/>
  <c r="J413" i="1"/>
  <c r="O412" i="1"/>
  <c r="L412" i="1"/>
  <c r="J412" i="1"/>
  <c r="O411" i="1"/>
  <c r="L411" i="1"/>
  <c r="J411" i="1"/>
  <c r="O410" i="1"/>
  <c r="L410" i="1"/>
  <c r="J410" i="1"/>
  <c r="O409" i="1"/>
  <c r="L409" i="1"/>
  <c r="J409" i="1"/>
  <c r="O408" i="1"/>
  <c r="L408" i="1"/>
  <c r="J408" i="1"/>
  <c r="O407" i="1"/>
  <c r="L407" i="1"/>
  <c r="J407" i="1"/>
  <c r="O406" i="1"/>
  <c r="L406" i="1"/>
  <c r="J406" i="1"/>
  <c r="O405" i="1"/>
  <c r="L405" i="1"/>
  <c r="J405" i="1"/>
  <c r="O404" i="1"/>
  <c r="L404" i="1"/>
  <c r="J404" i="1"/>
  <c r="O403" i="1"/>
  <c r="L403" i="1"/>
  <c r="J403" i="1"/>
  <c r="O402" i="1"/>
  <c r="L402" i="1"/>
  <c r="J402" i="1"/>
  <c r="O401" i="1"/>
  <c r="L401" i="1"/>
  <c r="J401" i="1"/>
  <c r="O400" i="1"/>
  <c r="L400" i="1"/>
  <c r="J400" i="1"/>
  <c r="O399" i="1"/>
  <c r="L399" i="1"/>
  <c r="J399" i="1"/>
  <c r="O398" i="1"/>
  <c r="L398" i="1"/>
  <c r="J398" i="1"/>
  <c r="O397" i="1"/>
  <c r="L397" i="1"/>
  <c r="J397" i="1"/>
  <c r="O396" i="1"/>
  <c r="L396" i="1"/>
  <c r="J396" i="1"/>
  <c r="O395" i="1"/>
  <c r="L395" i="1"/>
  <c r="J395" i="1"/>
  <c r="O394" i="1"/>
  <c r="L394" i="1"/>
  <c r="J394" i="1"/>
  <c r="O393" i="1"/>
  <c r="L393" i="1"/>
  <c r="J393" i="1"/>
  <c r="O392" i="1"/>
  <c r="L392" i="1"/>
  <c r="J392" i="1"/>
  <c r="O391" i="1"/>
  <c r="L391" i="1"/>
  <c r="J391" i="1"/>
  <c r="O390" i="1"/>
  <c r="L390" i="1"/>
  <c r="J390" i="1"/>
  <c r="O389" i="1"/>
  <c r="L389" i="1"/>
  <c r="J389" i="1"/>
  <c r="O388" i="1"/>
  <c r="L388" i="1"/>
  <c r="J388" i="1"/>
  <c r="O387" i="1"/>
  <c r="L387" i="1"/>
  <c r="J387" i="1"/>
  <c r="O386" i="1"/>
  <c r="L386" i="1"/>
  <c r="J386" i="1"/>
  <c r="O385" i="1"/>
  <c r="L385" i="1"/>
  <c r="J385" i="1"/>
  <c r="O384" i="1"/>
  <c r="L384" i="1"/>
  <c r="J384" i="1"/>
  <c r="O383" i="1"/>
  <c r="L383" i="1"/>
  <c r="J383" i="1"/>
  <c r="O382" i="1"/>
  <c r="L382" i="1"/>
  <c r="J382" i="1"/>
  <c r="O381" i="1"/>
  <c r="L381" i="1"/>
  <c r="J381" i="1"/>
  <c r="O380" i="1"/>
  <c r="L380" i="1"/>
  <c r="J380" i="1"/>
  <c r="O379" i="1"/>
  <c r="L379" i="1"/>
  <c r="J379" i="1"/>
  <c r="O378" i="1"/>
  <c r="L378" i="1"/>
  <c r="J378" i="1"/>
  <c r="O377" i="1"/>
  <c r="L377" i="1"/>
  <c r="J377" i="1"/>
  <c r="O376" i="1"/>
  <c r="L376" i="1"/>
  <c r="J376" i="1"/>
  <c r="O375" i="1"/>
  <c r="L375" i="1"/>
  <c r="J375" i="1"/>
  <c r="O374" i="1"/>
  <c r="L374" i="1"/>
  <c r="J374" i="1"/>
  <c r="O373" i="1"/>
  <c r="L373" i="1"/>
  <c r="J373" i="1"/>
  <c r="O372" i="1"/>
  <c r="L372" i="1"/>
  <c r="J372" i="1"/>
  <c r="O371" i="1"/>
  <c r="L371" i="1"/>
  <c r="J371" i="1"/>
  <c r="O370" i="1"/>
  <c r="L370" i="1"/>
  <c r="J370" i="1"/>
  <c r="O369" i="1"/>
  <c r="L369" i="1"/>
  <c r="J369" i="1"/>
  <c r="O368" i="1"/>
  <c r="L368" i="1"/>
  <c r="J368" i="1"/>
  <c r="O367" i="1"/>
  <c r="L367" i="1"/>
  <c r="J367" i="1"/>
  <c r="O366" i="1"/>
  <c r="L366" i="1"/>
  <c r="J366" i="1"/>
  <c r="O365" i="1"/>
  <c r="L365" i="1"/>
  <c r="J365" i="1"/>
  <c r="O364" i="1"/>
  <c r="L364" i="1"/>
  <c r="J364" i="1"/>
  <c r="O363" i="1"/>
  <c r="L363" i="1"/>
  <c r="J363" i="1"/>
  <c r="O362" i="1"/>
  <c r="L362" i="1"/>
  <c r="J362" i="1"/>
  <c r="O361" i="1"/>
  <c r="L361" i="1"/>
  <c r="J361" i="1"/>
  <c r="O360" i="1"/>
  <c r="L360" i="1"/>
  <c r="J360" i="1"/>
  <c r="O359" i="1"/>
  <c r="L359" i="1"/>
  <c r="J359" i="1"/>
  <c r="O358" i="1"/>
  <c r="L358" i="1"/>
  <c r="J358" i="1"/>
  <c r="O357" i="1"/>
  <c r="L357" i="1"/>
  <c r="J357" i="1"/>
  <c r="O356" i="1"/>
  <c r="L356" i="1"/>
  <c r="J356" i="1"/>
  <c r="O355" i="1"/>
  <c r="L355" i="1"/>
  <c r="J355" i="1"/>
  <c r="O354" i="1"/>
  <c r="L354" i="1"/>
  <c r="J354" i="1"/>
  <c r="O353" i="1"/>
  <c r="L353" i="1"/>
  <c r="J353" i="1"/>
  <c r="O352" i="1"/>
  <c r="L352" i="1"/>
  <c r="J352" i="1"/>
  <c r="O351" i="1"/>
  <c r="L351" i="1"/>
  <c r="J351" i="1"/>
  <c r="O350" i="1"/>
  <c r="L350" i="1"/>
  <c r="J350" i="1"/>
  <c r="O349" i="1"/>
  <c r="L349" i="1"/>
  <c r="J349" i="1"/>
  <c r="O348" i="1"/>
  <c r="L348" i="1"/>
  <c r="J348" i="1"/>
  <c r="O347" i="1"/>
  <c r="L347" i="1"/>
  <c r="J347" i="1"/>
  <c r="O346" i="1"/>
  <c r="L346" i="1"/>
  <c r="J346" i="1"/>
  <c r="O345" i="1"/>
  <c r="L345" i="1"/>
  <c r="J345" i="1"/>
  <c r="O344" i="1"/>
  <c r="L344" i="1"/>
  <c r="J344" i="1"/>
  <c r="O343" i="1"/>
  <c r="L343" i="1"/>
  <c r="J343" i="1"/>
  <c r="O342" i="1"/>
  <c r="L342" i="1"/>
  <c r="J342" i="1"/>
  <c r="O341" i="1"/>
  <c r="L341" i="1"/>
  <c r="J341" i="1"/>
  <c r="O340" i="1"/>
  <c r="L340" i="1"/>
  <c r="J340" i="1"/>
  <c r="O339" i="1"/>
  <c r="L339" i="1"/>
  <c r="J339" i="1"/>
  <c r="O338" i="1"/>
  <c r="L338" i="1"/>
  <c r="J338" i="1"/>
  <c r="O337" i="1"/>
  <c r="L337" i="1"/>
  <c r="J337" i="1"/>
  <c r="O336" i="1"/>
  <c r="L336" i="1"/>
  <c r="J336" i="1"/>
  <c r="O335" i="1"/>
  <c r="L335" i="1"/>
  <c r="J335" i="1"/>
  <c r="O334" i="1"/>
  <c r="L334" i="1"/>
  <c r="J334" i="1"/>
  <c r="O333" i="1"/>
  <c r="L333" i="1"/>
  <c r="J333" i="1"/>
  <c r="O332" i="1"/>
  <c r="L332" i="1"/>
  <c r="J332" i="1"/>
  <c r="O331" i="1"/>
  <c r="L331" i="1"/>
  <c r="J331" i="1"/>
  <c r="O330" i="1"/>
  <c r="L330" i="1"/>
  <c r="J330" i="1"/>
  <c r="O329" i="1"/>
  <c r="L329" i="1"/>
  <c r="J329" i="1"/>
  <c r="O328" i="1"/>
  <c r="L328" i="1"/>
  <c r="J328" i="1"/>
  <c r="O327" i="1"/>
  <c r="L327" i="1"/>
  <c r="J327" i="1"/>
  <c r="O326" i="1"/>
  <c r="L326" i="1"/>
  <c r="J326" i="1"/>
  <c r="O325" i="1"/>
  <c r="L325" i="1"/>
  <c r="J325" i="1"/>
  <c r="O324" i="1"/>
  <c r="L324" i="1"/>
  <c r="J324" i="1"/>
  <c r="O323" i="1"/>
  <c r="L323" i="1"/>
  <c r="J323" i="1"/>
  <c r="O322" i="1"/>
  <c r="L322" i="1"/>
  <c r="J322" i="1"/>
  <c r="O321" i="1"/>
  <c r="L321" i="1"/>
  <c r="J321" i="1"/>
  <c r="O320" i="1"/>
  <c r="L320" i="1"/>
  <c r="J320" i="1"/>
  <c r="O319" i="1"/>
  <c r="L319" i="1"/>
  <c r="J319" i="1"/>
  <c r="O318" i="1"/>
  <c r="L318" i="1"/>
  <c r="J318" i="1"/>
  <c r="O317" i="1"/>
  <c r="L317" i="1"/>
  <c r="J317" i="1"/>
  <c r="O316" i="1"/>
  <c r="L316" i="1"/>
  <c r="J316" i="1"/>
  <c r="O315" i="1"/>
  <c r="L315" i="1"/>
  <c r="J315" i="1"/>
  <c r="O314" i="1"/>
  <c r="L314" i="1"/>
  <c r="J314" i="1"/>
  <c r="O313" i="1"/>
  <c r="L313" i="1"/>
  <c r="J313" i="1"/>
  <c r="O312" i="1"/>
  <c r="L312" i="1"/>
  <c r="J312" i="1"/>
  <c r="O311" i="1"/>
  <c r="L311" i="1"/>
  <c r="J311" i="1"/>
  <c r="O310" i="1"/>
  <c r="L310" i="1"/>
  <c r="J310" i="1"/>
  <c r="O309" i="1"/>
  <c r="L309" i="1"/>
  <c r="J309" i="1"/>
  <c r="O308" i="1"/>
  <c r="L308" i="1"/>
  <c r="J308" i="1"/>
  <c r="O307" i="1"/>
  <c r="L307" i="1"/>
  <c r="J307" i="1"/>
  <c r="O306" i="1"/>
  <c r="L306" i="1"/>
  <c r="J306" i="1"/>
  <c r="O305" i="1"/>
  <c r="L305" i="1"/>
  <c r="J305" i="1"/>
  <c r="O304" i="1"/>
  <c r="L304" i="1"/>
  <c r="J304" i="1"/>
  <c r="O303" i="1"/>
  <c r="L303" i="1"/>
  <c r="J303" i="1"/>
  <c r="O302" i="1"/>
  <c r="L302" i="1"/>
  <c r="J302" i="1"/>
  <c r="O301" i="1"/>
  <c r="L301" i="1"/>
  <c r="J301" i="1"/>
  <c r="O300" i="1"/>
  <c r="L300" i="1"/>
  <c r="J300" i="1"/>
  <c r="O299" i="1"/>
  <c r="L299" i="1"/>
  <c r="J299" i="1"/>
  <c r="O298" i="1"/>
  <c r="L298" i="1"/>
  <c r="J298" i="1"/>
  <c r="O297" i="1"/>
  <c r="L297" i="1"/>
  <c r="J297" i="1"/>
  <c r="O296" i="1"/>
  <c r="L296" i="1"/>
  <c r="J296" i="1"/>
  <c r="O295" i="1"/>
  <c r="L295" i="1"/>
  <c r="J295" i="1"/>
  <c r="O294" i="1"/>
  <c r="L294" i="1"/>
  <c r="J294" i="1"/>
  <c r="O293" i="1"/>
  <c r="L293" i="1"/>
  <c r="J293" i="1"/>
  <c r="O292" i="1"/>
  <c r="L292" i="1"/>
  <c r="J292" i="1"/>
  <c r="O291" i="1"/>
  <c r="L291" i="1"/>
  <c r="J291" i="1"/>
  <c r="O290" i="1"/>
  <c r="L290" i="1"/>
  <c r="J290" i="1"/>
  <c r="O289" i="1"/>
  <c r="L289" i="1"/>
  <c r="J289" i="1"/>
  <c r="O288" i="1"/>
  <c r="L288" i="1"/>
  <c r="J288" i="1"/>
  <c r="O287" i="1"/>
  <c r="L287" i="1"/>
  <c r="J287" i="1"/>
  <c r="O286" i="1"/>
  <c r="L286" i="1"/>
  <c r="J286" i="1"/>
  <c r="O285" i="1"/>
  <c r="L285" i="1"/>
  <c r="J285" i="1"/>
  <c r="O284" i="1"/>
  <c r="L284" i="1"/>
  <c r="J284" i="1"/>
  <c r="O283" i="1"/>
  <c r="L283" i="1"/>
  <c r="J283" i="1"/>
  <c r="O282" i="1"/>
  <c r="L282" i="1"/>
  <c r="J282" i="1"/>
  <c r="O281" i="1"/>
  <c r="L281" i="1"/>
  <c r="J281" i="1"/>
  <c r="O280" i="1"/>
  <c r="L280" i="1"/>
  <c r="J280" i="1"/>
  <c r="O279" i="1"/>
  <c r="L279" i="1"/>
  <c r="J279" i="1"/>
  <c r="O278" i="1"/>
  <c r="L278" i="1"/>
  <c r="J278" i="1"/>
  <c r="O277" i="1"/>
  <c r="L277" i="1"/>
  <c r="J277" i="1"/>
  <c r="O276" i="1"/>
  <c r="L276" i="1"/>
  <c r="J276" i="1"/>
  <c r="O275" i="1"/>
  <c r="L275" i="1"/>
  <c r="J275" i="1"/>
  <c r="O274" i="1"/>
  <c r="L274" i="1"/>
  <c r="J274" i="1"/>
  <c r="O273" i="1"/>
  <c r="L273" i="1"/>
  <c r="J273" i="1"/>
  <c r="O272" i="1"/>
  <c r="L272" i="1"/>
  <c r="J272" i="1"/>
  <c r="O271" i="1"/>
  <c r="L271" i="1"/>
  <c r="J271" i="1"/>
  <c r="O270" i="1"/>
  <c r="L270" i="1"/>
  <c r="J270" i="1"/>
  <c r="O269" i="1"/>
  <c r="L269" i="1"/>
  <c r="J269" i="1"/>
  <c r="O268" i="1"/>
  <c r="L268" i="1"/>
  <c r="J268" i="1"/>
  <c r="O267" i="1"/>
  <c r="L267" i="1"/>
  <c r="J267" i="1"/>
  <c r="O266" i="1"/>
  <c r="L266" i="1"/>
  <c r="J266" i="1"/>
  <c r="O265" i="1"/>
  <c r="L265" i="1"/>
  <c r="J265" i="1"/>
  <c r="O264" i="1"/>
  <c r="L264" i="1"/>
  <c r="J264" i="1"/>
  <c r="O263" i="1"/>
  <c r="L263" i="1"/>
  <c r="J263" i="1"/>
  <c r="O262" i="1"/>
  <c r="L262" i="1"/>
  <c r="J262" i="1"/>
  <c r="O261" i="1"/>
  <c r="L261" i="1"/>
  <c r="J261" i="1"/>
  <c r="O260" i="1"/>
  <c r="L260" i="1"/>
  <c r="J260" i="1"/>
  <c r="O259" i="1"/>
  <c r="L259" i="1"/>
  <c r="J259" i="1"/>
  <c r="O258" i="1"/>
  <c r="L258" i="1"/>
  <c r="J258" i="1"/>
  <c r="O257" i="1"/>
  <c r="L257" i="1"/>
  <c r="J257" i="1"/>
  <c r="O256" i="1"/>
  <c r="L256" i="1"/>
  <c r="J256" i="1"/>
  <c r="O255" i="1"/>
  <c r="L255" i="1"/>
  <c r="J255" i="1"/>
  <c r="O254" i="1"/>
  <c r="L254" i="1"/>
  <c r="J254" i="1"/>
  <c r="O253" i="1"/>
  <c r="L253" i="1"/>
  <c r="J253" i="1"/>
  <c r="O252" i="1"/>
  <c r="L252" i="1"/>
  <c r="J252" i="1"/>
  <c r="O251" i="1"/>
  <c r="L251" i="1"/>
  <c r="J251" i="1"/>
  <c r="O250" i="1"/>
  <c r="L250" i="1"/>
  <c r="J250" i="1"/>
  <c r="O249" i="1"/>
  <c r="L249" i="1"/>
  <c r="J249" i="1"/>
  <c r="O248" i="1"/>
  <c r="L248" i="1"/>
  <c r="J248" i="1"/>
  <c r="O247" i="1"/>
  <c r="L247" i="1"/>
  <c r="J247" i="1"/>
  <c r="O246" i="1"/>
  <c r="L246" i="1"/>
  <c r="J246" i="1"/>
  <c r="O245" i="1"/>
  <c r="L245" i="1"/>
  <c r="J245" i="1"/>
  <c r="O244" i="1"/>
  <c r="L244" i="1"/>
  <c r="J244" i="1"/>
  <c r="O243" i="1"/>
  <c r="L243" i="1"/>
  <c r="J243" i="1"/>
  <c r="O242" i="1"/>
  <c r="L242" i="1"/>
  <c r="J242" i="1"/>
  <c r="O241" i="1"/>
  <c r="L241" i="1"/>
  <c r="J241" i="1"/>
  <c r="O240" i="1"/>
  <c r="L240" i="1"/>
  <c r="J240" i="1"/>
  <c r="O239" i="1"/>
  <c r="L239" i="1"/>
  <c r="J239" i="1"/>
  <c r="O238" i="1"/>
  <c r="L238" i="1"/>
  <c r="J238" i="1"/>
  <c r="O237" i="1"/>
  <c r="L237" i="1"/>
  <c r="J237" i="1"/>
  <c r="O236" i="1"/>
  <c r="L236" i="1"/>
  <c r="J236" i="1"/>
  <c r="O235" i="1"/>
  <c r="L235" i="1"/>
  <c r="J235" i="1"/>
  <c r="O234" i="1"/>
  <c r="L234" i="1"/>
  <c r="J234" i="1"/>
  <c r="O233" i="1"/>
  <c r="L233" i="1"/>
  <c r="J233" i="1"/>
  <c r="O232" i="1"/>
  <c r="L232" i="1"/>
  <c r="J232" i="1"/>
  <c r="O231" i="1"/>
  <c r="L231" i="1"/>
  <c r="J231" i="1"/>
  <c r="O230" i="1"/>
  <c r="L230" i="1"/>
  <c r="J230" i="1"/>
  <c r="O229" i="1"/>
  <c r="L229" i="1"/>
  <c r="J229" i="1"/>
  <c r="O228" i="1"/>
  <c r="L228" i="1"/>
  <c r="J228" i="1"/>
  <c r="O227" i="1"/>
  <c r="L227" i="1"/>
  <c r="J227" i="1"/>
  <c r="O226" i="1"/>
  <c r="L226" i="1"/>
  <c r="J226" i="1"/>
  <c r="O225" i="1"/>
  <c r="L225" i="1"/>
  <c r="J225" i="1"/>
  <c r="O224" i="1"/>
  <c r="L224" i="1"/>
  <c r="J224" i="1"/>
  <c r="O223" i="1"/>
  <c r="L223" i="1"/>
  <c r="J223" i="1"/>
  <c r="O222" i="1"/>
  <c r="L222" i="1"/>
  <c r="J222" i="1"/>
  <c r="O221" i="1"/>
  <c r="L221" i="1"/>
  <c r="J221" i="1"/>
  <c r="O220" i="1"/>
  <c r="L220" i="1"/>
  <c r="J220" i="1"/>
  <c r="O219" i="1"/>
  <c r="L219" i="1"/>
  <c r="J219" i="1"/>
  <c r="O218" i="1"/>
  <c r="L218" i="1"/>
  <c r="J218" i="1"/>
  <c r="O217" i="1"/>
  <c r="L217" i="1"/>
  <c r="J217" i="1"/>
  <c r="O216" i="1"/>
  <c r="L216" i="1"/>
  <c r="J216" i="1"/>
  <c r="O215" i="1"/>
  <c r="L215" i="1"/>
  <c r="J215" i="1"/>
  <c r="O214" i="1"/>
  <c r="L214" i="1"/>
  <c r="J214" i="1"/>
  <c r="O213" i="1"/>
  <c r="L213" i="1"/>
  <c r="J213" i="1"/>
  <c r="O212" i="1"/>
  <c r="L212" i="1"/>
  <c r="J212" i="1"/>
  <c r="O211" i="1"/>
  <c r="L211" i="1"/>
  <c r="J211" i="1"/>
  <c r="O210" i="1"/>
  <c r="L210" i="1"/>
  <c r="J210" i="1"/>
  <c r="O209" i="1"/>
  <c r="L209" i="1"/>
  <c r="J209" i="1"/>
  <c r="O208" i="1"/>
  <c r="L208" i="1"/>
  <c r="J208" i="1"/>
  <c r="O207" i="1"/>
  <c r="L207" i="1"/>
  <c r="J207" i="1"/>
  <c r="O206" i="1"/>
  <c r="L206" i="1"/>
  <c r="J206" i="1"/>
  <c r="O205" i="1"/>
  <c r="L205" i="1"/>
  <c r="J205" i="1"/>
  <c r="O204" i="1"/>
  <c r="L204" i="1"/>
  <c r="J204" i="1"/>
  <c r="O203" i="1"/>
  <c r="L203" i="1"/>
  <c r="J203" i="1"/>
  <c r="O202" i="1"/>
  <c r="L202" i="1"/>
  <c r="J202" i="1"/>
  <c r="O201" i="1"/>
  <c r="L201" i="1"/>
  <c r="J201" i="1"/>
  <c r="O200" i="1"/>
  <c r="L200" i="1"/>
  <c r="J200" i="1"/>
  <c r="O199" i="1"/>
  <c r="L199" i="1"/>
  <c r="J199" i="1"/>
  <c r="O198" i="1"/>
  <c r="L198" i="1"/>
  <c r="J198" i="1"/>
  <c r="O197" i="1"/>
  <c r="L197" i="1"/>
  <c r="J197" i="1"/>
  <c r="O196" i="1"/>
  <c r="L196" i="1"/>
  <c r="J196" i="1"/>
  <c r="O195" i="1"/>
  <c r="L195" i="1"/>
  <c r="J195" i="1"/>
  <c r="O194" i="1"/>
  <c r="L194" i="1"/>
  <c r="J194" i="1"/>
  <c r="O193" i="1"/>
  <c r="L193" i="1"/>
  <c r="J193" i="1"/>
  <c r="O192" i="1"/>
  <c r="L192" i="1"/>
  <c r="J192" i="1"/>
  <c r="O191" i="1"/>
  <c r="L191" i="1"/>
  <c r="J191" i="1"/>
  <c r="O190" i="1"/>
  <c r="L190" i="1"/>
  <c r="J190" i="1"/>
  <c r="O189" i="1"/>
  <c r="L189" i="1"/>
  <c r="J189" i="1"/>
  <c r="O188" i="1"/>
  <c r="L188" i="1"/>
  <c r="J188" i="1"/>
  <c r="O187" i="1"/>
  <c r="L187" i="1"/>
  <c r="J187" i="1"/>
  <c r="O186" i="1"/>
  <c r="L186" i="1"/>
  <c r="J186" i="1"/>
  <c r="O185" i="1"/>
  <c r="L185" i="1"/>
  <c r="J185" i="1"/>
  <c r="O184" i="1"/>
  <c r="L184" i="1"/>
  <c r="J184" i="1"/>
  <c r="O183" i="1"/>
  <c r="L183" i="1"/>
  <c r="J183" i="1"/>
  <c r="O182" i="1"/>
  <c r="L182" i="1"/>
  <c r="J182" i="1"/>
  <c r="O181" i="1"/>
  <c r="L181" i="1"/>
  <c r="J181" i="1"/>
  <c r="O180" i="1"/>
  <c r="L180" i="1"/>
  <c r="J180" i="1"/>
  <c r="O179" i="1"/>
  <c r="L179" i="1"/>
  <c r="J179" i="1"/>
  <c r="O178" i="1"/>
  <c r="L178" i="1"/>
  <c r="J178" i="1"/>
  <c r="O177" i="1"/>
  <c r="L177" i="1"/>
  <c r="J177" i="1"/>
  <c r="O176" i="1"/>
  <c r="L176" i="1"/>
  <c r="J176" i="1"/>
  <c r="O175" i="1"/>
  <c r="L175" i="1"/>
  <c r="J175" i="1"/>
  <c r="O174" i="1"/>
  <c r="L174" i="1"/>
  <c r="J174" i="1"/>
  <c r="O173" i="1"/>
  <c r="L173" i="1"/>
  <c r="J173" i="1"/>
  <c r="O172" i="1"/>
  <c r="L172" i="1"/>
  <c r="J172" i="1"/>
  <c r="O171" i="1"/>
  <c r="L171" i="1"/>
  <c r="J171" i="1"/>
  <c r="O170" i="1"/>
  <c r="L170" i="1"/>
  <c r="J170" i="1"/>
  <c r="O169" i="1"/>
  <c r="L169" i="1"/>
  <c r="J169" i="1"/>
  <c r="O168" i="1"/>
  <c r="L168" i="1"/>
  <c r="J168" i="1"/>
  <c r="O167" i="1"/>
  <c r="L167" i="1"/>
  <c r="J167" i="1"/>
  <c r="O166" i="1"/>
  <c r="L166" i="1"/>
  <c r="J166" i="1"/>
  <c r="O165" i="1"/>
  <c r="L165" i="1"/>
  <c r="J165" i="1"/>
  <c r="O164" i="1"/>
  <c r="L164" i="1"/>
  <c r="J164" i="1"/>
  <c r="O163" i="1"/>
  <c r="L163" i="1"/>
  <c r="J163" i="1"/>
  <c r="O162" i="1"/>
  <c r="L162" i="1"/>
  <c r="J162" i="1"/>
  <c r="O161" i="1"/>
  <c r="L161" i="1"/>
  <c r="J161" i="1"/>
  <c r="O160" i="1"/>
  <c r="L160" i="1"/>
  <c r="J160" i="1"/>
  <c r="O159" i="1"/>
  <c r="L159" i="1"/>
  <c r="J159" i="1"/>
  <c r="O158" i="1"/>
  <c r="L158" i="1"/>
  <c r="J158" i="1"/>
  <c r="O157" i="1"/>
  <c r="L157" i="1"/>
  <c r="J157" i="1"/>
  <c r="O156" i="1"/>
  <c r="L156" i="1"/>
  <c r="J156" i="1"/>
  <c r="O155" i="1"/>
  <c r="L155" i="1"/>
  <c r="J155" i="1"/>
  <c r="O154" i="1"/>
  <c r="L154" i="1"/>
  <c r="J154" i="1"/>
  <c r="O153" i="1"/>
  <c r="L153" i="1"/>
  <c r="J153" i="1"/>
  <c r="O152" i="1"/>
  <c r="L152" i="1"/>
  <c r="J152" i="1"/>
  <c r="O151" i="1"/>
  <c r="L151" i="1"/>
  <c r="J151" i="1"/>
  <c r="O150" i="1"/>
  <c r="L150" i="1"/>
  <c r="J150" i="1"/>
  <c r="O149" i="1"/>
  <c r="L149" i="1"/>
  <c r="J149" i="1"/>
  <c r="O148" i="1"/>
  <c r="L148" i="1"/>
  <c r="J148" i="1"/>
  <c r="O147" i="1"/>
  <c r="L147" i="1"/>
  <c r="J147" i="1"/>
  <c r="O146" i="1"/>
  <c r="L146" i="1"/>
  <c r="J146" i="1"/>
  <c r="O145" i="1"/>
  <c r="L145" i="1"/>
  <c r="J145" i="1"/>
  <c r="O144" i="1"/>
  <c r="L144" i="1"/>
  <c r="J144" i="1"/>
  <c r="O143" i="1"/>
  <c r="L143" i="1"/>
  <c r="J143" i="1"/>
  <c r="O142" i="1"/>
  <c r="L142" i="1"/>
  <c r="J142" i="1"/>
  <c r="O141" i="1"/>
  <c r="L141" i="1"/>
  <c r="J141" i="1"/>
  <c r="O140" i="1"/>
  <c r="L140" i="1"/>
  <c r="J140" i="1"/>
  <c r="O139" i="1"/>
  <c r="L139" i="1"/>
  <c r="J139" i="1"/>
  <c r="O138" i="1"/>
  <c r="L138" i="1"/>
  <c r="J138" i="1"/>
  <c r="O137" i="1"/>
  <c r="L137" i="1"/>
  <c r="J137" i="1"/>
  <c r="O136" i="1"/>
  <c r="L136" i="1"/>
  <c r="J136" i="1"/>
  <c r="O135" i="1"/>
  <c r="L135" i="1"/>
  <c r="J135" i="1"/>
  <c r="O134" i="1"/>
  <c r="L134" i="1"/>
  <c r="J134" i="1"/>
  <c r="O133" i="1"/>
  <c r="L133" i="1"/>
  <c r="J133" i="1"/>
  <c r="O132" i="1"/>
  <c r="L132" i="1"/>
  <c r="J132" i="1"/>
  <c r="O131" i="1"/>
  <c r="L131" i="1"/>
  <c r="J131" i="1"/>
  <c r="O130" i="1"/>
  <c r="L130" i="1"/>
  <c r="J130" i="1"/>
  <c r="O129" i="1"/>
  <c r="L129" i="1"/>
  <c r="J129" i="1"/>
  <c r="O128" i="1"/>
  <c r="L128" i="1"/>
  <c r="J128" i="1"/>
  <c r="O127" i="1"/>
  <c r="L127" i="1"/>
  <c r="J127" i="1"/>
  <c r="O126" i="1"/>
  <c r="L126" i="1"/>
  <c r="J126" i="1"/>
  <c r="O125" i="1"/>
  <c r="L125" i="1"/>
  <c r="J125" i="1"/>
  <c r="O124" i="1"/>
  <c r="L124" i="1"/>
  <c r="J124" i="1"/>
  <c r="O123" i="1"/>
  <c r="L123" i="1"/>
  <c r="J123" i="1"/>
  <c r="O122" i="1"/>
  <c r="L122" i="1"/>
  <c r="J122" i="1"/>
  <c r="O121" i="1"/>
  <c r="L121" i="1"/>
  <c r="J121" i="1"/>
  <c r="O120" i="1"/>
  <c r="L120" i="1"/>
  <c r="J120" i="1"/>
  <c r="O119" i="1"/>
  <c r="L119" i="1"/>
  <c r="J119" i="1"/>
  <c r="O118" i="1"/>
  <c r="L118" i="1"/>
  <c r="J118" i="1"/>
  <c r="O117" i="1"/>
  <c r="L117" i="1"/>
  <c r="J117" i="1"/>
  <c r="O116" i="1"/>
  <c r="L116" i="1"/>
  <c r="J116" i="1"/>
  <c r="O115" i="1"/>
  <c r="L115" i="1"/>
  <c r="J115" i="1"/>
  <c r="O114" i="1"/>
  <c r="L114" i="1"/>
  <c r="J114" i="1"/>
  <c r="O113" i="1"/>
  <c r="L113" i="1"/>
  <c r="J113" i="1"/>
  <c r="O112" i="1"/>
  <c r="L112" i="1"/>
  <c r="J112" i="1"/>
  <c r="O111" i="1"/>
  <c r="L111" i="1"/>
  <c r="J111" i="1"/>
  <c r="O110" i="1"/>
  <c r="L110" i="1"/>
  <c r="J110" i="1"/>
  <c r="O109" i="1"/>
  <c r="L109" i="1"/>
  <c r="J109" i="1"/>
  <c r="O108" i="1"/>
  <c r="L108" i="1"/>
  <c r="J108" i="1"/>
  <c r="O107" i="1"/>
  <c r="L107" i="1"/>
  <c r="J107" i="1"/>
  <c r="O106" i="1"/>
  <c r="L106" i="1"/>
  <c r="J106" i="1"/>
  <c r="O105" i="1"/>
  <c r="L105" i="1"/>
  <c r="J105" i="1"/>
  <c r="O104" i="1"/>
  <c r="L104" i="1"/>
  <c r="J104" i="1"/>
  <c r="O103" i="1"/>
  <c r="L103" i="1"/>
  <c r="J103" i="1"/>
  <c r="O102" i="1"/>
  <c r="L102" i="1"/>
  <c r="J102" i="1"/>
  <c r="O101" i="1"/>
  <c r="L101" i="1"/>
  <c r="J101" i="1"/>
  <c r="O100" i="1"/>
  <c r="L100" i="1"/>
  <c r="J100" i="1"/>
  <c r="O99" i="1"/>
  <c r="L99" i="1"/>
  <c r="J99" i="1"/>
  <c r="O98" i="1"/>
  <c r="L98" i="1"/>
  <c r="J98" i="1"/>
  <c r="O97" i="1"/>
  <c r="L97" i="1"/>
  <c r="J97" i="1"/>
  <c r="O96" i="1"/>
  <c r="L96" i="1"/>
  <c r="J96" i="1"/>
  <c r="O95" i="1"/>
  <c r="L95" i="1"/>
  <c r="J95" i="1"/>
  <c r="O94" i="1"/>
  <c r="L94" i="1"/>
  <c r="J94" i="1"/>
  <c r="O93" i="1"/>
  <c r="L93" i="1"/>
  <c r="J93" i="1"/>
  <c r="O92" i="1"/>
  <c r="L92" i="1"/>
  <c r="J92" i="1"/>
  <c r="O91" i="1"/>
  <c r="L91" i="1"/>
  <c r="J91" i="1"/>
  <c r="O90" i="1"/>
  <c r="L90" i="1"/>
  <c r="J90" i="1"/>
  <c r="O89" i="1"/>
  <c r="L89" i="1"/>
  <c r="J89" i="1"/>
  <c r="O88" i="1"/>
  <c r="L88" i="1"/>
  <c r="J88" i="1"/>
  <c r="O87" i="1"/>
  <c r="L87" i="1"/>
  <c r="J87" i="1"/>
  <c r="O86" i="1"/>
  <c r="L86" i="1"/>
  <c r="J86" i="1"/>
  <c r="O85" i="1"/>
  <c r="L85" i="1"/>
  <c r="J85" i="1"/>
  <c r="O84" i="1"/>
  <c r="L84" i="1"/>
  <c r="J84" i="1"/>
  <c r="O83" i="1"/>
  <c r="L83" i="1"/>
  <c r="J83" i="1"/>
  <c r="O82" i="1"/>
  <c r="L82" i="1"/>
  <c r="J82" i="1"/>
  <c r="O81" i="1"/>
  <c r="L81" i="1"/>
  <c r="J81" i="1"/>
  <c r="O80" i="1"/>
  <c r="L80" i="1"/>
  <c r="J80" i="1"/>
  <c r="O79" i="1"/>
  <c r="L79" i="1"/>
  <c r="J79" i="1"/>
  <c r="O78" i="1"/>
  <c r="L78" i="1"/>
  <c r="J78" i="1"/>
  <c r="O77" i="1"/>
  <c r="L77" i="1"/>
  <c r="J77" i="1"/>
  <c r="O76" i="1"/>
  <c r="L76" i="1"/>
  <c r="J76" i="1"/>
  <c r="O75" i="1"/>
  <c r="L75" i="1"/>
  <c r="J75" i="1"/>
  <c r="O74" i="1"/>
  <c r="L74" i="1"/>
  <c r="J74" i="1"/>
  <c r="O73" i="1"/>
  <c r="L73" i="1"/>
  <c r="J73" i="1"/>
  <c r="O72" i="1"/>
  <c r="L72" i="1"/>
  <c r="J72" i="1"/>
  <c r="O71" i="1"/>
  <c r="L71" i="1"/>
  <c r="J71" i="1"/>
  <c r="O70" i="1"/>
  <c r="L70" i="1"/>
  <c r="J70" i="1"/>
  <c r="O69" i="1"/>
  <c r="L69" i="1"/>
  <c r="J69" i="1"/>
  <c r="O68" i="1"/>
  <c r="L68" i="1"/>
  <c r="J68" i="1"/>
  <c r="O67" i="1"/>
  <c r="L67" i="1"/>
  <c r="J67" i="1"/>
  <c r="O66" i="1"/>
  <c r="L66" i="1"/>
  <c r="J66" i="1"/>
  <c r="O65" i="1"/>
  <c r="L65" i="1"/>
  <c r="J65" i="1"/>
  <c r="O64" i="1"/>
  <c r="L64" i="1"/>
  <c r="J64" i="1"/>
  <c r="O63" i="1"/>
  <c r="L63" i="1"/>
  <c r="J63" i="1"/>
  <c r="O62" i="1"/>
  <c r="L62" i="1"/>
  <c r="J62" i="1"/>
  <c r="O61" i="1"/>
  <c r="L61" i="1"/>
  <c r="J61" i="1"/>
  <c r="O60" i="1"/>
  <c r="L60" i="1"/>
  <c r="J60" i="1"/>
  <c r="O59" i="1"/>
  <c r="L59" i="1"/>
  <c r="J59" i="1"/>
  <c r="O58" i="1"/>
  <c r="L58" i="1"/>
  <c r="J58" i="1"/>
  <c r="O57" i="1"/>
  <c r="L57" i="1"/>
  <c r="J57" i="1"/>
  <c r="O56" i="1"/>
  <c r="L56" i="1"/>
  <c r="J56" i="1"/>
  <c r="O55" i="1"/>
  <c r="L55" i="1"/>
  <c r="J55" i="1"/>
  <c r="O54" i="1"/>
  <c r="L54" i="1"/>
  <c r="J54" i="1"/>
  <c r="O53" i="1"/>
  <c r="L53" i="1"/>
  <c r="J53" i="1"/>
  <c r="O52" i="1"/>
  <c r="L52" i="1"/>
  <c r="J52" i="1"/>
  <c r="O51" i="1"/>
  <c r="L51" i="1"/>
  <c r="J51" i="1"/>
  <c r="O50" i="1"/>
  <c r="L50" i="1"/>
  <c r="J50" i="1"/>
  <c r="O49" i="1"/>
  <c r="L49" i="1"/>
  <c r="J49" i="1"/>
  <c r="O48" i="1"/>
  <c r="L48" i="1"/>
  <c r="J48" i="1"/>
  <c r="O47" i="1"/>
  <c r="L47" i="1"/>
  <c r="J47" i="1"/>
  <c r="O46" i="1"/>
  <c r="L46" i="1"/>
  <c r="J46" i="1"/>
  <c r="O45" i="1"/>
  <c r="L45" i="1"/>
  <c r="J45" i="1"/>
  <c r="O44" i="1"/>
  <c r="L44" i="1"/>
  <c r="J44" i="1"/>
  <c r="O43" i="1"/>
  <c r="L43" i="1"/>
  <c r="J43" i="1"/>
  <c r="O42" i="1"/>
  <c r="L42" i="1"/>
  <c r="J42" i="1"/>
  <c r="O41" i="1"/>
  <c r="L41" i="1"/>
  <c r="J41" i="1"/>
  <c r="O40" i="1"/>
  <c r="L40" i="1"/>
  <c r="J40" i="1"/>
  <c r="O39" i="1"/>
  <c r="L39" i="1"/>
  <c r="J39" i="1"/>
  <c r="O38" i="1"/>
  <c r="L38" i="1"/>
  <c r="J38" i="1"/>
  <c r="O37" i="1"/>
  <c r="L37" i="1"/>
  <c r="J37" i="1"/>
  <c r="O36" i="1"/>
  <c r="L36" i="1"/>
  <c r="J36" i="1"/>
  <c r="O35" i="1"/>
  <c r="L35" i="1"/>
  <c r="J35" i="1"/>
  <c r="O34" i="1"/>
  <c r="L34" i="1"/>
  <c r="J34" i="1"/>
  <c r="O33" i="1"/>
  <c r="L33" i="1"/>
  <c r="J33" i="1"/>
  <c r="O32" i="1"/>
  <c r="L32" i="1"/>
  <c r="J32" i="1"/>
  <c r="O31" i="1"/>
  <c r="L31" i="1"/>
  <c r="J31" i="1"/>
  <c r="O30" i="1"/>
  <c r="L30" i="1"/>
  <c r="J30" i="1"/>
  <c r="O29" i="1"/>
  <c r="L29" i="1"/>
  <c r="J29" i="1"/>
  <c r="O28" i="1"/>
  <c r="L28" i="1"/>
  <c r="J28" i="1"/>
  <c r="O27" i="1"/>
  <c r="L27" i="1"/>
  <c r="J27" i="1"/>
  <c r="O26" i="1"/>
  <c r="L26" i="1"/>
  <c r="J26" i="1"/>
  <c r="O25" i="1"/>
  <c r="L25" i="1"/>
  <c r="J25" i="1"/>
  <c r="O24" i="1"/>
  <c r="L24" i="1"/>
  <c r="J24" i="1"/>
  <c r="O23" i="1"/>
  <c r="L23" i="1"/>
  <c r="J23" i="1"/>
  <c r="O22" i="1"/>
  <c r="L22" i="1"/>
  <c r="J22" i="1"/>
  <c r="O21" i="1"/>
  <c r="L21" i="1"/>
  <c r="J21" i="1"/>
  <c r="O20" i="1"/>
  <c r="L20" i="1"/>
  <c r="J20" i="1"/>
  <c r="O19" i="1"/>
  <c r="L19" i="1"/>
  <c r="J19" i="1"/>
  <c r="O18" i="1"/>
  <c r="L18" i="1"/>
  <c r="J18" i="1"/>
  <c r="O17" i="1"/>
  <c r="L17" i="1"/>
  <c r="J17" i="1"/>
  <c r="O16" i="1"/>
  <c r="L16" i="1"/>
  <c r="J16" i="1"/>
  <c r="O15" i="1"/>
  <c r="L15" i="1"/>
  <c r="J15" i="1"/>
  <c r="O14" i="1"/>
  <c r="L14" i="1"/>
  <c r="J14" i="1"/>
  <c r="O13" i="1"/>
  <c r="L13" i="1"/>
  <c r="J13" i="1"/>
  <c r="O12" i="1"/>
  <c r="L12" i="1"/>
  <c r="J12" i="1"/>
  <c r="O11" i="1"/>
  <c r="L11" i="1"/>
  <c r="J11" i="1"/>
  <c r="O10" i="1"/>
  <c r="L10" i="1"/>
  <c r="J10" i="1"/>
  <c r="O9" i="1"/>
  <c r="L9" i="1"/>
  <c r="J9" i="1"/>
  <c r="O8" i="1"/>
  <c r="L8" i="1"/>
  <c r="J8" i="1"/>
  <c r="O7" i="1"/>
  <c r="L7" i="1"/>
  <c r="J7" i="1"/>
  <c r="O6" i="1"/>
  <c r="L6" i="1"/>
  <c r="J6" i="1"/>
  <c r="O5" i="1"/>
  <c r="L5" i="1"/>
  <c r="J5" i="1"/>
  <c r="O4" i="1"/>
  <c r="L4" i="1"/>
  <c r="J4" i="1"/>
  <c r="O3" i="1"/>
  <c r="L3" i="1"/>
  <c r="J3" i="1"/>
  <c r="O2" i="1"/>
  <c r="L2" i="1"/>
  <c r="J2" i="1"/>
</calcChain>
</file>

<file path=xl/sharedStrings.xml><?xml version="1.0" encoding="utf-8"?>
<sst xmlns="http://schemas.openxmlformats.org/spreadsheetml/2006/main" count="8660" uniqueCount="372">
  <si>
    <t>Department</t>
  </si>
  <si>
    <t>Register Number</t>
  </si>
  <si>
    <t>Student Name</t>
  </si>
  <si>
    <t>Sem No</t>
  </si>
  <si>
    <t>Course Code</t>
  </si>
  <si>
    <t>Course Name</t>
  </si>
  <si>
    <t>Internal Mark</t>
  </si>
  <si>
    <t>External Mark</t>
  </si>
  <si>
    <t>Total Mark</t>
  </si>
  <si>
    <t>Internal-External Gap</t>
  </si>
  <si>
    <t>Result</t>
  </si>
  <si>
    <t>Result_Binary</t>
  </si>
  <si>
    <t>gp</t>
  </si>
  <si>
    <t>Credit Points</t>
  </si>
  <si>
    <t>Has_External</t>
  </si>
  <si>
    <t>Aeronautical Engineering</t>
  </si>
  <si>
    <t>24BAE001</t>
  </si>
  <si>
    <t xml:space="preserve">AADIL AHAMED AR </t>
  </si>
  <si>
    <t>24CSI101</t>
  </si>
  <si>
    <t>Logical Thinking and Problem Solving</t>
  </si>
  <si>
    <t>Pass</t>
  </si>
  <si>
    <t>24CYI104</t>
  </si>
  <si>
    <t>Material Chemistry</t>
  </si>
  <si>
    <t>24HSP112</t>
  </si>
  <si>
    <t>Holistic Wellness - 2</t>
  </si>
  <si>
    <t>24HST102</t>
  </si>
  <si>
    <t>Tamils and Technology</t>
  </si>
  <si>
    <t>24HST103</t>
  </si>
  <si>
    <t>Effective Communication</t>
  </si>
  <si>
    <t>24INO141</t>
  </si>
  <si>
    <t>CAMPUS SUSTAINABILITY</t>
  </si>
  <si>
    <t>24INP103</t>
  </si>
  <si>
    <t>Innovation Practicum - 2</t>
  </si>
  <si>
    <t>24MAI121</t>
  </si>
  <si>
    <t>Advanced Calculus and Laplace Transforms</t>
  </si>
  <si>
    <t>24MET104</t>
  </si>
  <si>
    <t>Engineering Mechanics</t>
  </si>
  <si>
    <t>24PHT107</t>
  </si>
  <si>
    <t>Materials Science for Aeronautical Engineering</t>
  </si>
  <si>
    <t>24ADP001</t>
  </si>
  <si>
    <t>Basics of Artificial Intelligence</t>
  </si>
  <si>
    <t>24EET105</t>
  </si>
  <si>
    <t>Basics of Electrical and Electronics Engineering</t>
  </si>
  <si>
    <t>24HSP111</t>
  </si>
  <si>
    <t>Holistic Wellness -1</t>
  </si>
  <si>
    <t>24HST101</t>
  </si>
  <si>
    <t>Heritage of Tamils</t>
  </si>
  <si>
    <t>24INO102</t>
  </si>
  <si>
    <t>ACHIEVEMENT MOTIVATION AND LEARNABILITY QUOTIENT</t>
  </si>
  <si>
    <t>24INP101</t>
  </si>
  <si>
    <t>Design Thinking</t>
  </si>
  <si>
    <t>24INP102</t>
  </si>
  <si>
    <t>Innovation Practicum -1</t>
  </si>
  <si>
    <t>24MAI111</t>
  </si>
  <si>
    <t>Linear Algebra and Calculus</t>
  </si>
  <si>
    <t>24MEI101</t>
  </si>
  <si>
    <t>Engineering Graphics</t>
  </si>
  <si>
    <t>24PHI106</t>
  </si>
  <si>
    <t>Engineering Physics</t>
  </si>
  <si>
    <t>24BAE002</t>
  </si>
  <si>
    <t xml:space="preserve">ABHIMANUE VINOD </t>
  </si>
  <si>
    <t>24HST104</t>
  </si>
  <si>
    <t>Professional Communication</t>
  </si>
  <si>
    <t>24INO113</t>
  </si>
  <si>
    <t>FREEHAND OUTLINE AND MODEL DRAWING</t>
  </si>
  <si>
    <t>24INO125</t>
  </si>
  <si>
    <t>DIGITAL ANIMATION</t>
  </si>
  <si>
    <t>24BAE003</t>
  </si>
  <si>
    <t xml:space="preserve">AKASH D </t>
  </si>
  <si>
    <t>24INO139</t>
  </si>
  <si>
    <t>EMOTIONAL INTELLIGENCE FOR EMERGING LEADERS</t>
  </si>
  <si>
    <t>24INO136</t>
  </si>
  <si>
    <t>INTRODUCTION TO NCC: A FOUNDATION FOR SOCIAL RESPONSIBILITY</t>
  </si>
  <si>
    <t>24BAE004</t>
  </si>
  <si>
    <t xml:space="preserve">AMUTHABALA M </t>
  </si>
  <si>
    <t>24INO124</t>
  </si>
  <si>
    <t>THE ART OF WILDLIFE AND SPORTS PHOTOGRAPHY</t>
  </si>
  <si>
    <t>24BAE005</t>
  </si>
  <si>
    <t xml:space="preserve">ANANTHARAJ A </t>
  </si>
  <si>
    <t>24BAE006</t>
  </si>
  <si>
    <t xml:space="preserve">ASARAJAN M </t>
  </si>
  <si>
    <t>24INJ002</t>
  </si>
  <si>
    <t>Freshmen design Project - 2</t>
  </si>
  <si>
    <t>24INJ001</t>
  </si>
  <si>
    <t>Freshmen Design Project I</t>
  </si>
  <si>
    <t>24BAE007</t>
  </si>
  <si>
    <t xml:space="preserve">AVANISH S </t>
  </si>
  <si>
    <t>Fail</t>
  </si>
  <si>
    <t>24INO119</t>
  </si>
  <si>
    <t>MATHEMATICAL HERITAGE BY EXPLORING VEDIC TECHNIQUES</t>
  </si>
  <si>
    <t>24BAE008</t>
  </si>
  <si>
    <t xml:space="preserve">BAVADHARANI B </t>
  </si>
  <si>
    <t>24INO140</t>
  </si>
  <si>
    <t>A STEP TOWARDS SELF-REALIZATION</t>
  </si>
  <si>
    <t>24BAE009</t>
  </si>
  <si>
    <t xml:space="preserve">BHAGYA BALAKRISHNAN </t>
  </si>
  <si>
    <t>24BAE010</t>
  </si>
  <si>
    <t xml:space="preserve">BHARATH N </t>
  </si>
  <si>
    <t>24BAE011</t>
  </si>
  <si>
    <t xml:space="preserve">BHARATHKUMAR K </t>
  </si>
  <si>
    <t>SA</t>
  </si>
  <si>
    <t>24INO147</t>
  </si>
  <si>
    <t>THE ART OF FILM AND MEDIA: A CULTURAL PERSPECTIVE</t>
  </si>
  <si>
    <t>24BAE012</t>
  </si>
  <si>
    <t xml:space="preserve">BOOMIKA  A </t>
  </si>
  <si>
    <t>24INO101</t>
  </si>
  <si>
    <t>SOCIAL ENTREPRENEURSHIP</t>
  </si>
  <si>
    <t>24BAE013</t>
  </si>
  <si>
    <t xml:space="preserve">BOWYASHREE M </t>
  </si>
  <si>
    <t>24INO138</t>
  </si>
  <si>
    <t>LEADERSHIP THROUGH DRILL AND FIELD PRACTICES</t>
  </si>
  <si>
    <t>24BAE014</t>
  </si>
  <si>
    <t xml:space="preserve">DARSINI M </t>
  </si>
  <si>
    <t>24HSJ102</t>
  </si>
  <si>
    <t>Fluency through Practice</t>
  </si>
  <si>
    <t>24INO105</t>
  </si>
  <si>
    <t>BUILDING EMOTIONAL INTELLIGENCE</t>
  </si>
  <si>
    <t>24INO104</t>
  </si>
  <si>
    <t>JOURNALISM</t>
  </si>
  <si>
    <t>24BAE015</t>
  </si>
  <si>
    <t xml:space="preserve">DEEKSHA T </t>
  </si>
  <si>
    <t>24BAE016</t>
  </si>
  <si>
    <t xml:space="preserve">DEEKSHITHA S </t>
  </si>
  <si>
    <t>24INO114</t>
  </si>
  <si>
    <t>GREATNESS AND HOLISTIC HEALING OF NO OIL-NO BOIL FOOD</t>
  </si>
  <si>
    <t>24INO131</t>
  </si>
  <si>
    <t>MASTERING STAGE PERFORMANCE</t>
  </si>
  <si>
    <t>24BAE017</t>
  </si>
  <si>
    <t xml:space="preserve">DEEPAN V G </t>
  </si>
  <si>
    <t>24BAE018</t>
  </si>
  <si>
    <t xml:space="preserve">DEVYANI TAMRAKAR </t>
  </si>
  <si>
    <t>24BAE019</t>
  </si>
  <si>
    <t xml:space="preserve">DHARSHAN R K </t>
  </si>
  <si>
    <t>24INO137</t>
  </si>
  <si>
    <t>CYBER CRIME AND LAW: A SOCIAL PERSPECTIVE</t>
  </si>
  <si>
    <t>24BAE020</t>
  </si>
  <si>
    <t xml:space="preserve">HARI PRASATH G </t>
  </si>
  <si>
    <t>24BAE021</t>
  </si>
  <si>
    <t xml:space="preserve">HEMALATHA K </t>
  </si>
  <si>
    <t>24BAE022</t>
  </si>
  <si>
    <t xml:space="preserve">ISHA B </t>
  </si>
  <si>
    <t>24INO108</t>
  </si>
  <si>
    <t>BHARATANATYAM FOR BEGINNERS</t>
  </si>
  <si>
    <t>24BAE023</t>
  </si>
  <si>
    <t xml:space="preserve">ISHA RAMESHKUMAR </t>
  </si>
  <si>
    <t>24INO115</t>
  </si>
  <si>
    <t>BRANDING AND ADVERTISEMENT</t>
  </si>
  <si>
    <t>24BAE024</t>
  </si>
  <si>
    <t xml:space="preserve">JAISHNU KIRUTHIC M </t>
  </si>
  <si>
    <t>24INO128</t>
  </si>
  <si>
    <t>HEAL YOUR SOUL</t>
  </si>
  <si>
    <t>24BAE025</t>
  </si>
  <si>
    <t xml:space="preserve">JAYA SHREE V </t>
  </si>
  <si>
    <t>24BAE068</t>
  </si>
  <si>
    <t xml:space="preserve">JEEVA RAGHAVAN A S </t>
  </si>
  <si>
    <t>24INO133</t>
  </si>
  <si>
    <t>COMPETITIVE SPIRIT FOR CAREER SUCCESS</t>
  </si>
  <si>
    <t>24BAE026</t>
  </si>
  <si>
    <t xml:space="preserve">KALIVARATHAN V </t>
  </si>
  <si>
    <t>24BAE027</t>
  </si>
  <si>
    <t xml:space="preserve">KAUSHAL R J </t>
  </si>
  <si>
    <t>24INO121</t>
  </si>
  <si>
    <t>GAMIFICATION IN EDUCATION</t>
  </si>
  <si>
    <t>24BAE028</t>
  </si>
  <si>
    <t xml:space="preserve">KAUSHIK R </t>
  </si>
  <si>
    <t>24INO145</t>
  </si>
  <si>
    <t>TRANSDISCIPLINARY TECHNOLOGIES FOR SUSTAINABLE DEVELOPMENT</t>
  </si>
  <si>
    <t>24BAE029</t>
  </si>
  <si>
    <t xml:space="preserve">KEERTHIKA B </t>
  </si>
  <si>
    <t>24BAE030</t>
  </si>
  <si>
    <t xml:space="preserve">LOKESHWARN S </t>
  </si>
  <si>
    <t>24BAE033</t>
  </si>
  <si>
    <t xml:space="preserve">M MIDHUN KUMAR </t>
  </si>
  <si>
    <t>24INO103</t>
  </si>
  <si>
    <t>INNOVATIVE CRAFTWORKS</t>
  </si>
  <si>
    <t>24BAE031</t>
  </si>
  <si>
    <t xml:space="preserve">MADURYA KALICHAMY </t>
  </si>
  <si>
    <t>24INO111</t>
  </si>
  <si>
    <t>FUNDAMENTALS OF DIGITAL DESIGN</t>
  </si>
  <si>
    <t>24BAE032</t>
  </si>
  <si>
    <t xml:space="preserve">MANISHA P </t>
  </si>
  <si>
    <t>24BAE034</t>
  </si>
  <si>
    <t xml:space="preserve">NANDHAKISHORE S </t>
  </si>
  <si>
    <t>24BAE035</t>
  </si>
  <si>
    <t xml:space="preserve">NARTHANA S V </t>
  </si>
  <si>
    <t>24BAE036</t>
  </si>
  <si>
    <t xml:space="preserve">NIVEDHYA T S </t>
  </si>
  <si>
    <t>24INO106</t>
  </si>
  <si>
    <t>WINNING MINDSET FOR CAREER SUCCESS</t>
  </si>
  <si>
    <t>24INO132</t>
  </si>
  <si>
    <t>PERSONALITY REFINING THERAPY</t>
  </si>
  <si>
    <t>24BAE037</t>
  </si>
  <si>
    <t xml:space="preserve">NOOMAN NAVITH S </t>
  </si>
  <si>
    <t>24BAE038</t>
  </si>
  <si>
    <t xml:space="preserve">PRAKASH R </t>
  </si>
  <si>
    <t>24BAE039</t>
  </si>
  <si>
    <t xml:space="preserve">PRAVEENKUMAR G </t>
  </si>
  <si>
    <t>24BAE040</t>
  </si>
  <si>
    <t xml:space="preserve">RAGUL J </t>
  </si>
  <si>
    <t>24INO109</t>
  </si>
  <si>
    <t>FUNDAMENTALS OF SELF-DEFENCE AND FITNESS THROUGH MARTIAL ARTS</t>
  </si>
  <si>
    <t>24BAE041</t>
  </si>
  <si>
    <t xml:space="preserve">RAGUL K </t>
  </si>
  <si>
    <t>24INO110</t>
  </si>
  <si>
    <t>UNIVERSAL RELATIONSHIP SKILLS</t>
  </si>
  <si>
    <t>24BAE042</t>
  </si>
  <si>
    <t xml:space="preserve">RAJAMATHI M </t>
  </si>
  <si>
    <t>24BAE043</t>
  </si>
  <si>
    <t xml:space="preserve">RAVI SHANKAR S </t>
  </si>
  <si>
    <t>24BAE044</t>
  </si>
  <si>
    <t xml:space="preserve">RITHANI R S </t>
  </si>
  <si>
    <t>24INO146</t>
  </si>
  <si>
    <t>ENVIRONMENTAL STEWARDSHIP AND LEADERSHIP IN SUSTAINABILITY</t>
  </si>
  <si>
    <t>24BAE045</t>
  </si>
  <si>
    <t xml:space="preserve">SANJAY S </t>
  </si>
  <si>
    <t>24BAE047</t>
  </si>
  <si>
    <t xml:space="preserve">SHANMUGAKAVI R </t>
  </si>
  <si>
    <t>24INO123</t>
  </si>
  <si>
    <t>COMPANY INCORPORATION AND STARTUP ECOSYSTEM</t>
  </si>
  <si>
    <t>24BAE048</t>
  </si>
  <si>
    <t xml:space="preserve">SHASWANTH M </t>
  </si>
  <si>
    <t>AB</t>
  </si>
  <si>
    <t>24BAE049</t>
  </si>
  <si>
    <t xml:space="preserve">SHYAM FERNANDAS A </t>
  </si>
  <si>
    <t>24BAE050</t>
  </si>
  <si>
    <t xml:space="preserve">SIDDARTH R </t>
  </si>
  <si>
    <t>24BAE051</t>
  </si>
  <si>
    <t xml:space="preserve">SIVANESAN K </t>
  </si>
  <si>
    <t>24BAE052</t>
  </si>
  <si>
    <t xml:space="preserve">SREEAMOKA S </t>
  </si>
  <si>
    <t>24INO112</t>
  </si>
  <si>
    <t>PSYCHOLOGY OF PERSONALITY AND PROFESSIONAL CHOICES</t>
  </si>
  <si>
    <t>24BAE053</t>
  </si>
  <si>
    <t xml:space="preserve">SRI VARSHAN S </t>
  </si>
  <si>
    <t>24BAE054</t>
  </si>
  <si>
    <t xml:space="preserve">SUBHISH S R </t>
  </si>
  <si>
    <t>24INO116</t>
  </si>
  <si>
    <t>THE ART OF TEAM WORK</t>
  </si>
  <si>
    <t>24BAE055</t>
  </si>
  <si>
    <t xml:space="preserve">SUCHIWRAT TAMRAKAR </t>
  </si>
  <si>
    <t>24BAE056</t>
  </si>
  <si>
    <t xml:space="preserve">SUGIRTHAN G </t>
  </si>
  <si>
    <t>24BAE057</t>
  </si>
  <si>
    <t xml:space="preserve">SUTHANDIRA C </t>
  </si>
  <si>
    <t>24BAE046</t>
  </si>
  <si>
    <t xml:space="preserve">T S SARVESH </t>
  </si>
  <si>
    <t>24INO117</t>
  </si>
  <si>
    <t>CREATIVE ART IN 2D GRAPHICS</t>
  </si>
  <si>
    <t>24BAE058</t>
  </si>
  <si>
    <t xml:space="preserve">THINAKAR U </t>
  </si>
  <si>
    <t>24BAE059</t>
  </si>
  <si>
    <t xml:space="preserve">THOUFIQ S </t>
  </si>
  <si>
    <t>24BAE060</t>
  </si>
  <si>
    <t xml:space="preserve">UMMAL FAZIRIYA Y </t>
  </si>
  <si>
    <t>24INO107</t>
  </si>
  <si>
    <t>THE LIFE CHANGING SKILLS</t>
  </si>
  <si>
    <t>24BAE061</t>
  </si>
  <si>
    <t xml:space="preserve">VAIRAVEL S </t>
  </si>
  <si>
    <t>24BAE062</t>
  </si>
  <si>
    <t xml:space="preserve">VASANTH A J </t>
  </si>
  <si>
    <t>24BAE063</t>
  </si>
  <si>
    <t xml:space="preserve">VIGNESH T </t>
  </si>
  <si>
    <t>24BAE064</t>
  </si>
  <si>
    <t xml:space="preserve">VISHVA  C </t>
  </si>
  <si>
    <t>24INO120</t>
  </si>
  <si>
    <t>INDIAN CULTURE AND CIVILIZATION</t>
  </si>
  <si>
    <t>24BAE065</t>
  </si>
  <si>
    <t xml:space="preserve">YASHITHA V </t>
  </si>
  <si>
    <t>24INO122</t>
  </si>
  <si>
    <t>RHYTHMIC FITNESS</t>
  </si>
  <si>
    <t>24BAE066</t>
  </si>
  <si>
    <t xml:space="preserve">YESU PRAGEN S </t>
  </si>
  <si>
    <t>24BAE067</t>
  </si>
  <si>
    <t xml:space="preserve">YUVANSARATHI M </t>
  </si>
  <si>
    <t>24INO126</t>
  </si>
  <si>
    <t>CRITICAL THINKING AND PROBLEM SOLVING</t>
  </si>
  <si>
    <t>Row Labels</t>
  </si>
  <si>
    <t>Grand Total</t>
  </si>
  <si>
    <t>Pass Rate</t>
  </si>
  <si>
    <t>Fail Rate</t>
  </si>
  <si>
    <t>RISK</t>
  </si>
  <si>
    <t>Register_No (Primary Key)</t>
  </si>
  <si>
    <t>Student_Name</t>
  </si>
  <si>
    <t>Gender</t>
  </si>
  <si>
    <t>12th_Percentage</t>
  </si>
  <si>
    <t>Cutoff</t>
  </si>
  <si>
    <t>Board</t>
  </si>
  <si>
    <t>Medium</t>
  </si>
  <si>
    <t>Parent_Education_Index</t>
  </si>
  <si>
    <t>Total_Family_Income</t>
  </si>
  <si>
    <t>Admission_Year</t>
  </si>
  <si>
    <t>AADIL AHAMED AR</t>
  </si>
  <si>
    <t>Male</t>
  </si>
  <si>
    <t>B.E-AERONAUTICAL ENGINEERING</t>
  </si>
  <si>
    <t>State Board</t>
  </si>
  <si>
    <t>English</t>
  </si>
  <si>
    <t>2024-2025</t>
  </si>
  <si>
    <t>ABHIMANUE VINOD</t>
  </si>
  <si>
    <t>CBSE</t>
  </si>
  <si>
    <t>AKASH D</t>
  </si>
  <si>
    <t>STATE BOARD</t>
  </si>
  <si>
    <t>ENGLISH</t>
  </si>
  <si>
    <t>AMUTHABALA M</t>
  </si>
  <si>
    <t>ANANTHARAJ A</t>
  </si>
  <si>
    <t>TAMIL</t>
  </si>
  <si>
    <t>ASARAJAN M</t>
  </si>
  <si>
    <t>ICSE</t>
  </si>
  <si>
    <t>AVANISH S</t>
  </si>
  <si>
    <t>BAVADHARANI B</t>
  </si>
  <si>
    <t>Female</t>
  </si>
  <si>
    <t>BHAGYA BALAKRISHNAN</t>
  </si>
  <si>
    <t>BHARATH N</t>
  </si>
  <si>
    <t>BHARATHKUMAR K</t>
  </si>
  <si>
    <t>BOOMIKA  A</t>
  </si>
  <si>
    <t>BOWYA SHREE M</t>
  </si>
  <si>
    <t>DARSINI M</t>
  </si>
  <si>
    <t>DEEKSHA T</t>
  </si>
  <si>
    <t>DEEKSHITHA S</t>
  </si>
  <si>
    <t>DEEPAN V G</t>
  </si>
  <si>
    <t>DEVYANI TAMRAKAR</t>
  </si>
  <si>
    <t>DHARSHAN R K</t>
  </si>
  <si>
    <t>TN State Board</t>
  </si>
  <si>
    <t>HARI PRASATH G</t>
  </si>
  <si>
    <t>HEMALATHA K</t>
  </si>
  <si>
    <t>ISHA B</t>
  </si>
  <si>
    <t>Others</t>
  </si>
  <si>
    <t>ISHA RAMESHKUMAR</t>
  </si>
  <si>
    <t>IGCSE</t>
  </si>
  <si>
    <t>JAISHNU KIRUTHIC M</t>
  </si>
  <si>
    <t>JAYA SHREE V</t>
  </si>
  <si>
    <t>KALIVARATHAN V</t>
  </si>
  <si>
    <t>KAUSHAL R J</t>
  </si>
  <si>
    <t>KAUSHIK R</t>
  </si>
  <si>
    <t>KEERTHIKA B</t>
  </si>
  <si>
    <t>LOKESHWARN S</t>
  </si>
  <si>
    <t>MADURYA KALICHAMY</t>
  </si>
  <si>
    <t>MANISHA P</t>
  </si>
  <si>
    <t>M MIDHUN KUMAR</t>
  </si>
  <si>
    <t>NANDHAKISHORE S</t>
  </si>
  <si>
    <t>NARTHANA S V</t>
  </si>
  <si>
    <t>NIVEDHYA T S</t>
  </si>
  <si>
    <t>NOOMAN NAVITH S</t>
  </si>
  <si>
    <t>PRAKASH R</t>
  </si>
  <si>
    <t>PRAVEENKUMAR G</t>
  </si>
  <si>
    <t>RAGUL J</t>
  </si>
  <si>
    <t>RAGUL K</t>
  </si>
  <si>
    <t>RAJAMATHI M</t>
  </si>
  <si>
    <t>RAVI SHANKAR S</t>
  </si>
  <si>
    <t>RITHANI R S</t>
  </si>
  <si>
    <t>SANJAY S</t>
  </si>
  <si>
    <t>T S SARVESH</t>
  </si>
  <si>
    <t>SHANMUGAKAVI R</t>
  </si>
  <si>
    <t>SHASWANTH M</t>
  </si>
  <si>
    <t>SHYAM FERNANDAS A</t>
  </si>
  <si>
    <t>SIDDARTH R</t>
  </si>
  <si>
    <t>SIVANESAN K</t>
  </si>
  <si>
    <t>SREEAMOKA S</t>
  </si>
  <si>
    <t>SRI VARSHAN S</t>
  </si>
  <si>
    <t>SUBHISH S R</t>
  </si>
  <si>
    <t>SUCHIWRAT TAMRAKAR</t>
  </si>
  <si>
    <t>SUGIRTHAN G</t>
  </si>
  <si>
    <t>SUTHANDIRA C</t>
  </si>
  <si>
    <t>THINAKAR U</t>
  </si>
  <si>
    <t>THOUFIQ S</t>
  </si>
  <si>
    <t>UMMAL FAZIRIYA Y</t>
  </si>
  <si>
    <t>VAIRAVEL S</t>
  </si>
  <si>
    <t>VASANTH A J</t>
  </si>
  <si>
    <t>VIGNESH T</t>
  </si>
  <si>
    <t>VISHVA  C</t>
  </si>
  <si>
    <t>YASHITHA V</t>
  </si>
  <si>
    <t>YESU PRAGEN S</t>
  </si>
  <si>
    <t>YUVANSARATHI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</si>
</sst>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0" fontId="0" fillId="0" borderId="0" xfId="0" applyNumberFormat="1"/>
    <xf numFmtId="0" fontId="4" fillId="0" borderId="0" xfId="0" applyFont="1"/>
    <xf numFmtId="0" fontId="0" fillId="3" borderId="0" xfId="0" applyFill="1"/>
    <xf numFmtId="10" fontId="3" fillId="2" borderId="0" xfId="1" applyNumberFormat="1" applyFont="1"/>
    <xf numFmtId="0" fontId="3" fillId="2" borderId="0" xfId="1" applyFont="1"/>
  </cellXfs>
  <cellStyles count="2">
    <cellStyle name="20% - Accent1" xfId="1" builtinId="30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numFmt numFmtId="164" formatCode="0.00_);\(0.00\)"/>
    </dxf>
    <dxf>
      <numFmt numFmtId="164" formatCode="0.00_);\(0.00\)"/>
    </dxf>
    <dxf>
      <numFmt numFmtId="14" formatCode="0.00%"/>
    </dxf>
    <dxf>
      <numFmt numFmtId="164" formatCode="0.00_);\(0.00\)"/>
    </dxf>
    <dxf>
      <numFmt numFmtId="164" formatCode="0.00_);\(0.00\)"/>
    </dxf>
    <dxf>
      <numFmt numFmtId="164" formatCode="0.00_);\(0.00\)"/>
    </dxf>
    <dxf>
      <numFmt numFmtId="164" formatCode="0.00_);\(0.00\)"/>
    </dxf>
    <dxf>
      <numFmt numFmtId="164" formatCode="0.00_);\(0.00\)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esh" refreshedDate="46054.849589467594" createdVersion="8" refreshedVersion="8" minRefreshableVersion="3" recordCount="1349" xr:uid="{8F59F0E8-7D0C-428D-99CA-A03EA0A2C040}">
  <cacheSource type="worksheet">
    <worksheetSource name="Table4"/>
  </cacheSource>
  <cacheFields count="15">
    <cacheField name="Department" numFmtId="0">
      <sharedItems/>
    </cacheField>
    <cacheField name="Register Number" numFmtId="0">
      <sharedItems/>
    </cacheField>
    <cacheField name="Student Name" numFmtId="0">
      <sharedItems/>
    </cacheField>
    <cacheField name="Sem No" numFmtId="0">
      <sharedItems containsSemiMixedTypes="0" containsString="0" containsNumber="1" containsInteger="1" minValue="1" maxValue="2"/>
    </cacheField>
    <cacheField name="Course Code" numFmtId="0">
      <sharedItems count="60">
        <s v="24CSI101"/>
        <s v="24CYI104"/>
        <s v="24HSP112"/>
        <s v="24HST102"/>
        <s v="24HST103"/>
        <s v="24INO141"/>
        <s v="24INP103"/>
        <s v="24MAI121"/>
        <s v="24MET104"/>
        <s v="24PHT107"/>
        <s v="24ADP001"/>
        <s v="24EET105"/>
        <s v="24HSP111"/>
        <s v="24HST101"/>
        <s v="24INO102"/>
        <s v="24INP101"/>
        <s v="24INP102"/>
        <s v="24MAI111"/>
        <s v="24MEI101"/>
        <s v="24PHI106"/>
        <s v="24HST104"/>
        <s v="24INO113"/>
        <s v="24INO125"/>
        <s v="24INO139"/>
        <s v="24INO136"/>
        <s v="24INO124"/>
        <s v="24INJ002"/>
        <s v="24INJ001"/>
        <s v="24INO119"/>
        <s v="24INO140"/>
        <s v="24INO147"/>
        <s v="24INO101"/>
        <s v="24INO138"/>
        <s v="24HSJ102"/>
        <s v="24INO105"/>
        <s v="24INO104"/>
        <s v="24INO114"/>
        <s v="24INO131"/>
        <s v="24INO137"/>
        <s v="24INO108"/>
        <s v="24INO115"/>
        <s v="24INO128"/>
        <s v="24INO133"/>
        <s v="24INO121"/>
        <s v="24INO145"/>
        <s v="24INO103"/>
        <s v="24INO111"/>
        <s v="24INO106"/>
        <s v="24INO132"/>
        <s v="24INO109"/>
        <s v="24INO110"/>
        <s v="24INO146"/>
        <s v="24INO123"/>
        <s v="24INO112"/>
        <s v="24INO116"/>
        <s v="24INO117"/>
        <s v="24INO107"/>
        <s v="24INO120"/>
        <s v="24INO122"/>
        <s v="24INO126"/>
      </sharedItems>
    </cacheField>
    <cacheField name="Course Name" numFmtId="0">
      <sharedItems count="60">
        <s v="Logical Thinking and Problem Solving"/>
        <s v="Material Chemistry"/>
        <s v="Holistic Wellness - 2"/>
        <s v="Tamils and Technology"/>
        <s v="Effective Communication"/>
        <s v="CAMPUS SUSTAINABILITY"/>
        <s v="Innovation Practicum - 2"/>
        <s v="Advanced Calculus and Laplace Transforms"/>
        <s v="Engineering Mechanics"/>
        <s v="Materials Science for Aeronautical Engineering"/>
        <s v="Basics of Artificial Intelligence"/>
        <s v="Basics of Electrical and Electronics Engineering"/>
        <s v="Holistic Wellness -1"/>
        <s v="Heritage of Tamils"/>
        <s v="ACHIEVEMENT MOTIVATION AND LEARNABILITY QUOTIENT"/>
        <s v="Design Thinking"/>
        <s v="Innovation Practicum -1"/>
        <s v="Linear Algebra and Calculus"/>
        <s v="Engineering Graphics"/>
        <s v="Engineering Physics"/>
        <s v="Professional Communication"/>
        <s v="FREEHAND OUTLINE AND MODEL DRAWING"/>
        <s v="DIGITAL ANIMATION"/>
        <s v="EMOTIONAL INTELLIGENCE FOR EMERGING LEADERS"/>
        <s v="INTRODUCTION TO NCC: A FOUNDATION FOR SOCIAL RESPONSIBILITY"/>
        <s v="THE ART OF WILDLIFE AND SPORTS PHOTOGRAPHY"/>
        <s v="Freshmen design Project - 2"/>
        <s v="Freshmen Design Project I"/>
        <s v="MATHEMATICAL HERITAGE BY EXPLORING VEDIC TECHNIQUES"/>
        <s v="A STEP TOWARDS SELF-REALIZATION"/>
        <s v="THE ART OF FILM AND MEDIA: A CULTURAL PERSPECTIVE"/>
        <s v="SOCIAL ENTREPRENEURSHIP"/>
        <s v="LEADERSHIP THROUGH DRILL AND FIELD PRACTICES"/>
        <s v="Fluency through Practice"/>
        <s v="BUILDING EMOTIONAL INTELLIGENCE"/>
        <s v="JOURNALISM"/>
        <s v="GREATNESS AND HOLISTIC HEALING OF NO OIL-NO BOIL FOOD"/>
        <s v="MASTERING STAGE PERFORMANCE"/>
        <s v="CYBER CRIME AND LAW: A SOCIAL PERSPECTIVE"/>
        <s v="BHARATANATYAM FOR BEGINNERS"/>
        <s v="BRANDING AND ADVERTISEMENT"/>
        <s v="HEAL YOUR SOUL"/>
        <s v="COMPETITIVE SPIRIT FOR CAREER SUCCESS"/>
        <s v="GAMIFICATION IN EDUCATION"/>
        <s v="TRANSDISCIPLINARY TECHNOLOGIES FOR SUSTAINABLE DEVELOPMENT"/>
        <s v="INNOVATIVE CRAFTWORKS"/>
        <s v="FUNDAMENTALS OF DIGITAL DESIGN"/>
        <s v="WINNING MINDSET FOR CAREER SUCCESS"/>
        <s v="PERSONALITY REFINING THERAPY"/>
        <s v="FUNDAMENTALS OF SELF-DEFENCE AND FITNESS THROUGH MARTIAL ARTS"/>
        <s v="UNIVERSAL RELATIONSHIP SKILLS"/>
        <s v="ENVIRONMENTAL STEWARDSHIP AND LEADERSHIP IN SUSTAINABILITY"/>
        <s v="COMPANY INCORPORATION AND STARTUP ECOSYSTEM"/>
        <s v="PSYCHOLOGY OF PERSONALITY AND PROFESSIONAL CHOICES"/>
        <s v="THE ART OF TEAM WORK"/>
        <s v="CREATIVE ART IN 2D GRAPHICS"/>
        <s v="THE LIFE CHANGING SKILLS"/>
        <s v="INDIAN CULTURE AND CIVILIZATION"/>
        <s v="RHYTHMIC FITNESS"/>
        <s v="CRITICAL THINKING AND PROBLEM SOLVING"/>
      </sharedItems>
    </cacheField>
    <cacheField name="Internal Mark" numFmtId="0">
      <sharedItems containsSemiMixedTypes="0" containsString="0" containsNumber="1" containsInteger="1" minValue="0" maxValue="100"/>
    </cacheField>
    <cacheField name="External Mark" numFmtId="0">
      <sharedItems containsSemiMixedTypes="0" containsString="0" containsNumber="1" containsInteger="1" minValue="0" maxValue="57"/>
    </cacheField>
    <cacheField name="Total Mark" numFmtId="0">
      <sharedItems containsSemiMixedTypes="0" containsString="0" containsNumber="1" containsInteger="1" minValue="0" maxValue="100"/>
    </cacheField>
    <cacheField name="Internal-External Gap" numFmtId="0">
      <sharedItems containsSemiMixedTypes="0" containsString="0" containsNumber="1" containsInteger="1" minValue="-30" maxValue="30"/>
    </cacheField>
    <cacheField name="Result" numFmtId="0">
      <sharedItems/>
    </cacheField>
    <cacheField name="Result_Binary" numFmtId="0">
      <sharedItems containsSemiMixedTypes="0" containsString="0" containsNumber="1" containsInteger="1" minValue="0" maxValue="1"/>
    </cacheField>
    <cacheField name="gp" numFmtId="0">
      <sharedItems containsSemiMixedTypes="0" containsString="0" containsNumber="1" containsInteger="1" minValue="0" maxValue="10"/>
    </cacheField>
    <cacheField name="Credit Points" numFmtId="0">
      <sharedItems containsSemiMixedTypes="0" containsString="0" containsNumber="1" containsInteger="1" minValue="1" maxValue="4"/>
    </cacheField>
    <cacheField name="Has_Externa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9">
  <r>
    <s v="Aeronautical Engineering"/>
    <s v="24BAE001"/>
    <s v="AADIL AHAMED AR "/>
    <n v="2"/>
    <x v="0"/>
    <x v="0"/>
    <n v="38"/>
    <n v="31"/>
    <n v="69"/>
    <n v="7"/>
    <s v="Pass"/>
    <n v="1"/>
    <n v="7"/>
    <n v="4"/>
    <n v="1"/>
  </r>
  <r>
    <s v="Aeronautical Engineering"/>
    <s v="24BAE001"/>
    <s v="AADIL AHAMED AR "/>
    <n v="2"/>
    <x v="1"/>
    <x v="1"/>
    <n v="39"/>
    <n v="26"/>
    <n v="65"/>
    <n v="13"/>
    <s v="Pass"/>
    <n v="1"/>
    <n v="7"/>
    <n v="4"/>
    <n v="1"/>
  </r>
  <r>
    <s v="Aeronautical Engineering"/>
    <s v="24BAE001"/>
    <s v="AADIL AHAMED AR "/>
    <n v="2"/>
    <x v="2"/>
    <x v="2"/>
    <n v="82"/>
    <n v="0"/>
    <n v="82"/>
    <n v="0"/>
    <s v="Pass"/>
    <n v="1"/>
    <n v="9"/>
    <n v="1"/>
    <n v="0"/>
  </r>
  <r>
    <s v="Aeronautical Engineering"/>
    <s v="24BAE001"/>
    <s v="AADIL AHAMED AR "/>
    <n v="2"/>
    <x v="3"/>
    <x v="3"/>
    <n v="31"/>
    <n v="25"/>
    <n v="56"/>
    <n v="6"/>
    <s v="Pass"/>
    <n v="1"/>
    <n v="6"/>
    <n v="1"/>
    <n v="1"/>
  </r>
  <r>
    <s v="Aeronautical Engineering"/>
    <s v="24BAE001"/>
    <s v="AADIL AHAMED AR "/>
    <n v="2"/>
    <x v="4"/>
    <x v="4"/>
    <n v="28"/>
    <n v="28"/>
    <n v="56"/>
    <n v="0"/>
    <s v="Pass"/>
    <n v="1"/>
    <n v="6"/>
    <n v="2"/>
    <n v="1"/>
  </r>
  <r>
    <s v="Aeronautical Engineering"/>
    <s v="24BAE001"/>
    <s v="AADIL AHAMED AR "/>
    <n v="2"/>
    <x v="5"/>
    <x v="5"/>
    <n v="68"/>
    <n v="0"/>
    <n v="68"/>
    <n v="0"/>
    <s v="Pass"/>
    <n v="1"/>
    <n v="7"/>
    <n v="1"/>
    <n v="0"/>
  </r>
  <r>
    <s v="Aeronautical Engineering"/>
    <s v="24BAE001"/>
    <s v="AADIL AHAMED AR "/>
    <n v="2"/>
    <x v="6"/>
    <x v="6"/>
    <n v="94"/>
    <n v="0"/>
    <n v="94"/>
    <n v="0"/>
    <s v="Pass"/>
    <n v="1"/>
    <n v="10"/>
    <n v="1"/>
    <n v="0"/>
  </r>
  <r>
    <s v="Aeronautical Engineering"/>
    <s v="24BAE001"/>
    <s v="AADIL AHAMED AR "/>
    <n v="2"/>
    <x v="7"/>
    <x v="7"/>
    <n v="35"/>
    <n v="26"/>
    <n v="61"/>
    <n v="9"/>
    <s v="Pass"/>
    <n v="1"/>
    <n v="7"/>
    <n v="4"/>
    <n v="1"/>
  </r>
  <r>
    <s v="Aeronautical Engineering"/>
    <s v="24BAE001"/>
    <s v="AADIL AHAMED AR "/>
    <n v="2"/>
    <x v="8"/>
    <x v="8"/>
    <n v="21"/>
    <n v="30"/>
    <n v="51"/>
    <n v="-9"/>
    <s v="Pass"/>
    <n v="1"/>
    <n v="5"/>
    <n v="3"/>
    <n v="1"/>
  </r>
  <r>
    <s v="Aeronautical Engineering"/>
    <s v="24BAE001"/>
    <s v="AADIL AHAMED AR "/>
    <n v="2"/>
    <x v="9"/>
    <x v="9"/>
    <n v="27"/>
    <n v="37"/>
    <n v="64"/>
    <n v="-10"/>
    <s v="Pass"/>
    <n v="1"/>
    <n v="7"/>
    <n v="3"/>
    <n v="1"/>
  </r>
  <r>
    <s v="Aeronautical Engineering"/>
    <s v="24BAE001"/>
    <s v="AADIL AHAMED AR "/>
    <n v="1"/>
    <x v="10"/>
    <x v="10"/>
    <n v="91"/>
    <n v="0"/>
    <n v="91"/>
    <n v="0"/>
    <s v="Pass"/>
    <n v="1"/>
    <n v="10"/>
    <n v="1"/>
    <n v="0"/>
  </r>
  <r>
    <s v="Aeronautical Engineering"/>
    <s v="24BAE001"/>
    <s v="AADIL AHAMED AR "/>
    <n v="1"/>
    <x v="11"/>
    <x v="11"/>
    <n v="24"/>
    <n v="30"/>
    <n v="54"/>
    <n v="-6"/>
    <s v="Pass"/>
    <n v="1"/>
    <n v="7"/>
    <n v="3"/>
    <n v="1"/>
  </r>
  <r>
    <s v="Aeronautical Engineering"/>
    <s v="24BAE001"/>
    <s v="AADIL AHAMED AR "/>
    <n v="1"/>
    <x v="12"/>
    <x v="12"/>
    <n v="66"/>
    <n v="0"/>
    <n v="66"/>
    <n v="0"/>
    <s v="Pass"/>
    <n v="1"/>
    <n v="7"/>
    <n v="1"/>
    <n v="0"/>
  </r>
  <r>
    <s v="Aeronautical Engineering"/>
    <s v="24BAE001"/>
    <s v="AADIL AHAMED AR "/>
    <n v="1"/>
    <x v="13"/>
    <x v="13"/>
    <n v="25"/>
    <n v="33"/>
    <n v="58"/>
    <n v="-8"/>
    <s v="Pass"/>
    <n v="1"/>
    <n v="6"/>
    <n v="1"/>
    <n v="1"/>
  </r>
  <r>
    <s v="Aeronautical Engineering"/>
    <s v="24BAE001"/>
    <s v="AADIL AHAMED AR "/>
    <n v="1"/>
    <x v="14"/>
    <x v="14"/>
    <n v="60"/>
    <n v="0"/>
    <n v="60"/>
    <n v="0"/>
    <s v="Pass"/>
    <n v="1"/>
    <n v="6"/>
    <n v="1"/>
    <n v="0"/>
  </r>
  <r>
    <s v="Aeronautical Engineering"/>
    <s v="24BAE001"/>
    <s v="AADIL AHAMED AR "/>
    <n v="1"/>
    <x v="15"/>
    <x v="15"/>
    <n v="90"/>
    <n v="0"/>
    <n v="90"/>
    <n v="0"/>
    <s v="Pass"/>
    <n v="1"/>
    <n v="9"/>
    <n v="1"/>
    <n v="0"/>
  </r>
  <r>
    <s v="Aeronautical Engineering"/>
    <s v="24BAE001"/>
    <s v="AADIL AHAMED AR "/>
    <n v="1"/>
    <x v="16"/>
    <x v="16"/>
    <n v="80"/>
    <n v="0"/>
    <n v="80"/>
    <n v="0"/>
    <s v="Pass"/>
    <n v="1"/>
    <n v="8"/>
    <n v="1"/>
    <n v="0"/>
  </r>
  <r>
    <s v="Aeronautical Engineering"/>
    <s v="24BAE001"/>
    <s v="AADIL AHAMED AR "/>
    <n v="1"/>
    <x v="17"/>
    <x v="17"/>
    <n v="39"/>
    <n v="37"/>
    <n v="76"/>
    <n v="2"/>
    <s v="Pass"/>
    <n v="1"/>
    <n v="8"/>
    <n v="4"/>
    <n v="1"/>
  </r>
  <r>
    <s v="Aeronautical Engineering"/>
    <s v="24BAE001"/>
    <s v="AADIL AHAMED AR "/>
    <n v="1"/>
    <x v="18"/>
    <x v="18"/>
    <n v="35"/>
    <n v="41"/>
    <n v="76"/>
    <n v="-6"/>
    <s v="Pass"/>
    <n v="1"/>
    <n v="8"/>
    <n v="3"/>
    <n v="1"/>
  </r>
  <r>
    <s v="Aeronautical Engineering"/>
    <s v="24BAE001"/>
    <s v="AADIL AHAMED AR "/>
    <n v="1"/>
    <x v="19"/>
    <x v="19"/>
    <n v="35"/>
    <n v="25"/>
    <n v="60"/>
    <n v="10"/>
    <s v="Pass"/>
    <n v="1"/>
    <n v="7"/>
    <n v="4"/>
    <n v="1"/>
  </r>
  <r>
    <s v="Aeronautical Engineering"/>
    <s v="24BAE002"/>
    <s v="ABHIMANUE VINOD "/>
    <n v="2"/>
    <x v="0"/>
    <x v="0"/>
    <n v="42"/>
    <n v="27"/>
    <n v="69"/>
    <n v="15"/>
    <s v="Pass"/>
    <n v="1"/>
    <n v="7"/>
    <n v="4"/>
    <n v="1"/>
  </r>
  <r>
    <s v="Aeronautical Engineering"/>
    <s v="24BAE002"/>
    <s v="ABHIMANUE VINOD "/>
    <n v="2"/>
    <x v="1"/>
    <x v="1"/>
    <n v="37"/>
    <n v="24"/>
    <n v="61"/>
    <n v="13"/>
    <s v="Pass"/>
    <n v="1"/>
    <n v="6"/>
    <n v="4"/>
    <n v="1"/>
  </r>
  <r>
    <s v="Aeronautical Engineering"/>
    <s v="24BAE002"/>
    <s v="ABHIMANUE VINOD "/>
    <n v="2"/>
    <x v="2"/>
    <x v="2"/>
    <n v="73"/>
    <n v="0"/>
    <n v="73"/>
    <n v="0"/>
    <s v="Pass"/>
    <n v="1"/>
    <n v="8"/>
    <n v="1"/>
    <n v="0"/>
  </r>
  <r>
    <s v="Aeronautical Engineering"/>
    <s v="24BAE002"/>
    <s v="ABHIMANUE VINOD "/>
    <n v="2"/>
    <x v="3"/>
    <x v="3"/>
    <n v="33"/>
    <n v="30"/>
    <n v="63"/>
    <n v="3"/>
    <s v="Pass"/>
    <n v="1"/>
    <n v="7"/>
    <n v="1"/>
    <n v="1"/>
  </r>
  <r>
    <s v="Aeronautical Engineering"/>
    <s v="24BAE002"/>
    <s v="ABHIMANUE VINOD "/>
    <n v="2"/>
    <x v="20"/>
    <x v="20"/>
    <n v="27"/>
    <n v="35"/>
    <n v="62"/>
    <n v="-8"/>
    <s v="Pass"/>
    <n v="1"/>
    <n v="7"/>
    <n v="2"/>
    <n v="1"/>
  </r>
  <r>
    <s v="Aeronautical Engineering"/>
    <s v="24BAE002"/>
    <s v="ABHIMANUE VINOD "/>
    <n v="2"/>
    <x v="21"/>
    <x v="21"/>
    <n v="87"/>
    <n v="0"/>
    <n v="87"/>
    <n v="0"/>
    <s v="Pass"/>
    <n v="1"/>
    <n v="9"/>
    <n v="1"/>
    <n v="0"/>
  </r>
  <r>
    <s v="Aeronautical Engineering"/>
    <s v="24BAE002"/>
    <s v="ABHIMANUE VINOD "/>
    <n v="2"/>
    <x v="6"/>
    <x v="6"/>
    <n v="94"/>
    <n v="0"/>
    <n v="94"/>
    <n v="0"/>
    <s v="Pass"/>
    <n v="1"/>
    <n v="10"/>
    <n v="1"/>
    <n v="0"/>
  </r>
  <r>
    <s v="Aeronautical Engineering"/>
    <s v="24BAE002"/>
    <s v="ABHIMANUE VINOD "/>
    <n v="2"/>
    <x v="7"/>
    <x v="7"/>
    <n v="35"/>
    <n v="25"/>
    <n v="60"/>
    <n v="10"/>
    <s v="Pass"/>
    <n v="1"/>
    <n v="7"/>
    <n v="4"/>
    <n v="1"/>
  </r>
  <r>
    <s v="Aeronautical Engineering"/>
    <s v="24BAE002"/>
    <s v="ABHIMANUE VINOD "/>
    <n v="2"/>
    <x v="8"/>
    <x v="8"/>
    <n v="27"/>
    <n v="38"/>
    <n v="65"/>
    <n v="-11"/>
    <s v="Pass"/>
    <n v="1"/>
    <n v="7"/>
    <n v="3"/>
    <n v="1"/>
  </r>
  <r>
    <s v="Aeronautical Engineering"/>
    <s v="24BAE002"/>
    <s v="ABHIMANUE VINOD "/>
    <n v="2"/>
    <x v="9"/>
    <x v="9"/>
    <n v="25"/>
    <n v="30"/>
    <n v="55"/>
    <n v="-5"/>
    <s v="Pass"/>
    <n v="1"/>
    <n v="6"/>
    <n v="3"/>
    <n v="1"/>
  </r>
  <r>
    <s v="Aeronautical Engineering"/>
    <s v="24BAE002"/>
    <s v="ABHIMANUE VINOD "/>
    <n v="1"/>
    <x v="10"/>
    <x v="10"/>
    <n v="89"/>
    <n v="0"/>
    <n v="89"/>
    <n v="0"/>
    <s v="Pass"/>
    <n v="1"/>
    <n v="9"/>
    <n v="1"/>
    <n v="0"/>
  </r>
  <r>
    <s v="Aeronautical Engineering"/>
    <s v="24BAE002"/>
    <s v="ABHIMANUE VINOD "/>
    <n v="1"/>
    <x v="11"/>
    <x v="11"/>
    <n v="25"/>
    <n v="37"/>
    <n v="62"/>
    <n v="-12"/>
    <s v="Pass"/>
    <n v="1"/>
    <n v="8"/>
    <n v="3"/>
    <n v="1"/>
  </r>
  <r>
    <s v="Aeronautical Engineering"/>
    <s v="24BAE002"/>
    <s v="ABHIMANUE VINOD "/>
    <n v="1"/>
    <x v="12"/>
    <x v="12"/>
    <n v="50"/>
    <n v="0"/>
    <n v="50"/>
    <n v="0"/>
    <s v="Pass"/>
    <n v="1"/>
    <n v="5"/>
    <n v="1"/>
    <n v="0"/>
  </r>
  <r>
    <s v="Aeronautical Engineering"/>
    <s v="24BAE002"/>
    <s v="ABHIMANUE VINOD "/>
    <n v="1"/>
    <x v="13"/>
    <x v="13"/>
    <n v="25"/>
    <n v="41"/>
    <n v="66"/>
    <n v="-16"/>
    <s v="Pass"/>
    <n v="1"/>
    <n v="7"/>
    <n v="1"/>
    <n v="1"/>
  </r>
  <r>
    <s v="Aeronautical Engineering"/>
    <s v="24BAE002"/>
    <s v="ABHIMANUE VINOD "/>
    <n v="1"/>
    <x v="22"/>
    <x v="22"/>
    <n v="86"/>
    <n v="0"/>
    <n v="86"/>
    <n v="0"/>
    <s v="Pass"/>
    <n v="1"/>
    <n v="9"/>
    <n v="1"/>
    <n v="0"/>
  </r>
  <r>
    <s v="Aeronautical Engineering"/>
    <s v="24BAE002"/>
    <s v="ABHIMANUE VINOD "/>
    <n v="1"/>
    <x v="15"/>
    <x v="15"/>
    <n v="90"/>
    <n v="0"/>
    <n v="90"/>
    <n v="0"/>
    <s v="Pass"/>
    <n v="1"/>
    <n v="9"/>
    <n v="1"/>
    <n v="0"/>
  </r>
  <r>
    <s v="Aeronautical Engineering"/>
    <s v="24BAE002"/>
    <s v="ABHIMANUE VINOD "/>
    <n v="1"/>
    <x v="16"/>
    <x v="16"/>
    <n v="85"/>
    <n v="0"/>
    <n v="85"/>
    <n v="0"/>
    <s v="Pass"/>
    <n v="1"/>
    <n v="9"/>
    <n v="1"/>
    <n v="0"/>
  </r>
  <r>
    <s v="Aeronautical Engineering"/>
    <s v="24BAE002"/>
    <s v="ABHIMANUE VINOD "/>
    <n v="1"/>
    <x v="17"/>
    <x v="17"/>
    <n v="42"/>
    <n v="39"/>
    <n v="81"/>
    <n v="3"/>
    <s v="Pass"/>
    <n v="1"/>
    <n v="8"/>
    <n v="4"/>
    <n v="1"/>
  </r>
  <r>
    <s v="Aeronautical Engineering"/>
    <s v="24BAE002"/>
    <s v="ABHIMANUE VINOD "/>
    <n v="1"/>
    <x v="18"/>
    <x v="18"/>
    <n v="44"/>
    <n v="41"/>
    <n v="85"/>
    <n v="3"/>
    <s v="Pass"/>
    <n v="1"/>
    <n v="8"/>
    <n v="3"/>
    <n v="1"/>
  </r>
  <r>
    <s v="Aeronautical Engineering"/>
    <s v="24BAE002"/>
    <s v="ABHIMANUE VINOD "/>
    <n v="1"/>
    <x v="19"/>
    <x v="19"/>
    <n v="32"/>
    <n v="32"/>
    <n v="64"/>
    <n v="0"/>
    <s v="Pass"/>
    <n v="1"/>
    <n v="7"/>
    <n v="4"/>
    <n v="1"/>
  </r>
  <r>
    <s v="Aeronautical Engineering"/>
    <s v="24BAE003"/>
    <s v="AKASH D "/>
    <n v="2"/>
    <x v="0"/>
    <x v="0"/>
    <n v="38"/>
    <n v="23"/>
    <n v="61"/>
    <n v="15"/>
    <s v="Pass"/>
    <n v="1"/>
    <n v="6"/>
    <n v="4"/>
    <n v="1"/>
  </r>
  <r>
    <s v="Aeronautical Engineering"/>
    <s v="24BAE003"/>
    <s v="AKASH D "/>
    <n v="2"/>
    <x v="1"/>
    <x v="1"/>
    <n v="36"/>
    <n v="35"/>
    <n v="71"/>
    <n v="1"/>
    <s v="Pass"/>
    <n v="1"/>
    <n v="7"/>
    <n v="4"/>
    <n v="1"/>
  </r>
  <r>
    <s v="Aeronautical Engineering"/>
    <s v="24BAE003"/>
    <s v="AKASH D "/>
    <n v="2"/>
    <x v="2"/>
    <x v="2"/>
    <n v="88"/>
    <n v="0"/>
    <n v="88"/>
    <n v="0"/>
    <s v="Pass"/>
    <n v="1"/>
    <n v="9"/>
    <n v="1"/>
    <n v="0"/>
  </r>
  <r>
    <s v="Aeronautical Engineering"/>
    <s v="24BAE003"/>
    <s v="AKASH D "/>
    <n v="2"/>
    <x v="3"/>
    <x v="3"/>
    <n v="32"/>
    <n v="28"/>
    <n v="60"/>
    <n v="4"/>
    <s v="Pass"/>
    <n v="1"/>
    <n v="6"/>
    <n v="1"/>
    <n v="1"/>
  </r>
  <r>
    <s v="Aeronautical Engineering"/>
    <s v="24BAE003"/>
    <s v="AKASH D "/>
    <n v="2"/>
    <x v="4"/>
    <x v="4"/>
    <n v="21"/>
    <n v="36"/>
    <n v="57"/>
    <n v="-15"/>
    <s v="Pass"/>
    <n v="1"/>
    <n v="6"/>
    <n v="2"/>
    <n v="1"/>
  </r>
  <r>
    <s v="Aeronautical Engineering"/>
    <s v="24BAE003"/>
    <s v="AKASH D "/>
    <n v="2"/>
    <x v="23"/>
    <x v="23"/>
    <n v="100"/>
    <n v="0"/>
    <n v="100"/>
    <n v="0"/>
    <s v="Pass"/>
    <n v="1"/>
    <n v="10"/>
    <n v="1"/>
    <n v="0"/>
  </r>
  <r>
    <s v="Aeronautical Engineering"/>
    <s v="24BAE003"/>
    <s v="AKASH D "/>
    <n v="2"/>
    <x v="6"/>
    <x v="6"/>
    <n v="94"/>
    <n v="0"/>
    <n v="94"/>
    <n v="0"/>
    <s v="Pass"/>
    <n v="1"/>
    <n v="10"/>
    <n v="1"/>
    <n v="0"/>
  </r>
  <r>
    <s v="Aeronautical Engineering"/>
    <s v="24BAE003"/>
    <s v="AKASH D "/>
    <n v="2"/>
    <x v="7"/>
    <x v="7"/>
    <n v="29"/>
    <n v="23"/>
    <n v="52"/>
    <n v="6"/>
    <s v="Pass"/>
    <n v="1"/>
    <n v="6"/>
    <n v="4"/>
    <n v="1"/>
  </r>
  <r>
    <s v="Aeronautical Engineering"/>
    <s v="24BAE003"/>
    <s v="AKASH D "/>
    <n v="2"/>
    <x v="8"/>
    <x v="8"/>
    <n v="12"/>
    <n v="41"/>
    <n v="53"/>
    <n v="-29"/>
    <s v="Pass"/>
    <n v="1"/>
    <n v="5"/>
    <n v="3"/>
    <n v="1"/>
  </r>
  <r>
    <s v="Aeronautical Engineering"/>
    <s v="24BAE003"/>
    <s v="AKASH D "/>
    <n v="2"/>
    <x v="9"/>
    <x v="9"/>
    <n v="20"/>
    <n v="37"/>
    <n v="57"/>
    <n v="-17"/>
    <s v="Pass"/>
    <n v="1"/>
    <n v="6"/>
    <n v="3"/>
    <n v="1"/>
  </r>
  <r>
    <s v="Aeronautical Engineering"/>
    <s v="24BAE003"/>
    <s v="AKASH D "/>
    <n v="1"/>
    <x v="10"/>
    <x v="10"/>
    <n v="88"/>
    <n v="0"/>
    <n v="88"/>
    <n v="0"/>
    <s v="Pass"/>
    <n v="1"/>
    <n v="9"/>
    <n v="1"/>
    <n v="0"/>
  </r>
  <r>
    <s v="Aeronautical Engineering"/>
    <s v="24BAE003"/>
    <s v="AKASH D "/>
    <n v="1"/>
    <x v="11"/>
    <x v="11"/>
    <n v="15"/>
    <n v="37"/>
    <n v="52"/>
    <n v="-22"/>
    <s v="Pass"/>
    <n v="1"/>
    <n v="6"/>
    <n v="3"/>
    <n v="1"/>
  </r>
  <r>
    <s v="Aeronautical Engineering"/>
    <s v="24BAE003"/>
    <s v="AKASH D "/>
    <n v="1"/>
    <x v="12"/>
    <x v="12"/>
    <n v="86"/>
    <n v="0"/>
    <n v="86"/>
    <n v="0"/>
    <s v="Pass"/>
    <n v="1"/>
    <n v="9"/>
    <n v="1"/>
    <n v="0"/>
  </r>
  <r>
    <s v="Aeronautical Engineering"/>
    <s v="24BAE003"/>
    <s v="AKASH D "/>
    <n v="1"/>
    <x v="13"/>
    <x v="13"/>
    <n v="26"/>
    <n v="35"/>
    <n v="61"/>
    <n v="-9"/>
    <s v="Pass"/>
    <n v="1"/>
    <n v="6"/>
    <n v="1"/>
    <n v="1"/>
  </r>
  <r>
    <s v="Aeronautical Engineering"/>
    <s v="24BAE003"/>
    <s v="AKASH D "/>
    <n v="1"/>
    <x v="24"/>
    <x v="24"/>
    <n v="82"/>
    <n v="0"/>
    <n v="82"/>
    <n v="0"/>
    <s v="Pass"/>
    <n v="1"/>
    <n v="9"/>
    <n v="1"/>
    <n v="0"/>
  </r>
  <r>
    <s v="Aeronautical Engineering"/>
    <s v="24BAE003"/>
    <s v="AKASH D "/>
    <n v="1"/>
    <x v="15"/>
    <x v="15"/>
    <n v="100"/>
    <n v="0"/>
    <n v="100"/>
    <n v="0"/>
    <s v="Pass"/>
    <n v="1"/>
    <n v="10"/>
    <n v="1"/>
    <n v="0"/>
  </r>
  <r>
    <s v="Aeronautical Engineering"/>
    <s v="24BAE003"/>
    <s v="AKASH D "/>
    <n v="1"/>
    <x v="16"/>
    <x v="16"/>
    <n v="78"/>
    <n v="0"/>
    <n v="78"/>
    <n v="0"/>
    <s v="Pass"/>
    <n v="1"/>
    <n v="8"/>
    <n v="1"/>
    <n v="0"/>
  </r>
  <r>
    <s v="Aeronautical Engineering"/>
    <s v="24BAE003"/>
    <s v="AKASH D "/>
    <n v="1"/>
    <x v="17"/>
    <x v="17"/>
    <n v="37"/>
    <n v="39"/>
    <n v="76"/>
    <n v="-2"/>
    <s v="Pass"/>
    <n v="1"/>
    <n v="8"/>
    <n v="4"/>
    <n v="1"/>
  </r>
  <r>
    <s v="Aeronautical Engineering"/>
    <s v="24BAE003"/>
    <s v="AKASH D "/>
    <n v="1"/>
    <x v="18"/>
    <x v="18"/>
    <n v="38"/>
    <n v="40"/>
    <n v="78"/>
    <n v="-2"/>
    <s v="Pass"/>
    <n v="1"/>
    <n v="8"/>
    <n v="3"/>
    <n v="1"/>
  </r>
  <r>
    <s v="Aeronautical Engineering"/>
    <s v="24BAE003"/>
    <s v="AKASH D "/>
    <n v="1"/>
    <x v="19"/>
    <x v="19"/>
    <n v="34"/>
    <n v="34"/>
    <n v="68"/>
    <n v="0"/>
    <s v="Pass"/>
    <n v="1"/>
    <n v="8"/>
    <n v="4"/>
    <n v="1"/>
  </r>
  <r>
    <s v="Aeronautical Engineering"/>
    <s v="24BAE004"/>
    <s v="AMUTHABALA M "/>
    <n v="2"/>
    <x v="0"/>
    <x v="0"/>
    <n v="46"/>
    <n v="28"/>
    <n v="74"/>
    <n v="18"/>
    <s v="Pass"/>
    <n v="1"/>
    <n v="8"/>
    <n v="4"/>
    <n v="1"/>
  </r>
  <r>
    <s v="Aeronautical Engineering"/>
    <s v="24BAE004"/>
    <s v="AMUTHABALA M "/>
    <n v="2"/>
    <x v="1"/>
    <x v="1"/>
    <n v="44"/>
    <n v="35"/>
    <n v="79"/>
    <n v="9"/>
    <s v="Pass"/>
    <n v="1"/>
    <n v="8"/>
    <n v="4"/>
    <n v="1"/>
  </r>
  <r>
    <s v="Aeronautical Engineering"/>
    <s v="24BAE004"/>
    <s v="AMUTHABALA M "/>
    <n v="2"/>
    <x v="2"/>
    <x v="2"/>
    <n v="83"/>
    <n v="0"/>
    <n v="83"/>
    <n v="0"/>
    <s v="Pass"/>
    <n v="1"/>
    <n v="9"/>
    <n v="1"/>
    <n v="0"/>
  </r>
  <r>
    <s v="Aeronautical Engineering"/>
    <s v="24BAE004"/>
    <s v="AMUTHABALA M "/>
    <n v="2"/>
    <x v="3"/>
    <x v="3"/>
    <n v="41"/>
    <n v="36"/>
    <n v="77"/>
    <n v="5"/>
    <s v="Pass"/>
    <n v="1"/>
    <n v="8"/>
    <n v="1"/>
    <n v="1"/>
  </r>
  <r>
    <s v="Aeronautical Engineering"/>
    <s v="24BAE004"/>
    <s v="AMUTHABALA M "/>
    <n v="2"/>
    <x v="4"/>
    <x v="4"/>
    <n v="29"/>
    <n v="40"/>
    <n v="69"/>
    <n v="-11"/>
    <s v="Pass"/>
    <n v="1"/>
    <n v="7"/>
    <n v="2"/>
    <n v="1"/>
  </r>
  <r>
    <s v="Aeronautical Engineering"/>
    <s v="24BAE004"/>
    <s v="AMUTHABALA M "/>
    <n v="2"/>
    <x v="22"/>
    <x v="22"/>
    <n v="77"/>
    <n v="0"/>
    <n v="77"/>
    <n v="0"/>
    <s v="Pass"/>
    <n v="1"/>
    <n v="8"/>
    <n v="1"/>
    <n v="0"/>
  </r>
  <r>
    <s v="Aeronautical Engineering"/>
    <s v="24BAE004"/>
    <s v="AMUTHABALA M "/>
    <n v="2"/>
    <x v="6"/>
    <x v="6"/>
    <n v="94"/>
    <n v="0"/>
    <n v="94"/>
    <n v="0"/>
    <s v="Pass"/>
    <n v="1"/>
    <n v="10"/>
    <n v="1"/>
    <n v="0"/>
  </r>
  <r>
    <s v="Aeronautical Engineering"/>
    <s v="24BAE004"/>
    <s v="AMUTHABALA M "/>
    <n v="2"/>
    <x v="7"/>
    <x v="7"/>
    <n v="47"/>
    <n v="36"/>
    <n v="83"/>
    <n v="11"/>
    <s v="Pass"/>
    <n v="1"/>
    <n v="8"/>
    <n v="4"/>
    <n v="1"/>
  </r>
  <r>
    <s v="Aeronautical Engineering"/>
    <s v="24BAE004"/>
    <s v="AMUTHABALA M "/>
    <n v="2"/>
    <x v="8"/>
    <x v="8"/>
    <n v="35"/>
    <n v="47"/>
    <n v="82"/>
    <n v="-12"/>
    <s v="Pass"/>
    <n v="1"/>
    <n v="9"/>
    <n v="3"/>
    <n v="1"/>
  </r>
  <r>
    <s v="Aeronautical Engineering"/>
    <s v="24BAE004"/>
    <s v="AMUTHABALA M "/>
    <n v="2"/>
    <x v="9"/>
    <x v="9"/>
    <n v="37"/>
    <n v="39"/>
    <n v="76"/>
    <n v="-2"/>
    <s v="Pass"/>
    <n v="1"/>
    <n v="8"/>
    <n v="3"/>
    <n v="1"/>
  </r>
  <r>
    <s v="Aeronautical Engineering"/>
    <s v="24BAE004"/>
    <s v="AMUTHABALA M "/>
    <n v="1"/>
    <x v="10"/>
    <x v="10"/>
    <n v="96"/>
    <n v="0"/>
    <n v="96"/>
    <n v="0"/>
    <s v="Pass"/>
    <n v="1"/>
    <n v="10"/>
    <n v="1"/>
    <n v="0"/>
  </r>
  <r>
    <s v="Aeronautical Engineering"/>
    <s v="24BAE004"/>
    <s v="AMUTHABALA M "/>
    <n v="1"/>
    <x v="11"/>
    <x v="11"/>
    <n v="31"/>
    <n v="44"/>
    <n v="75"/>
    <n v="-13"/>
    <s v="Pass"/>
    <n v="1"/>
    <n v="10"/>
    <n v="3"/>
    <n v="1"/>
  </r>
  <r>
    <s v="Aeronautical Engineering"/>
    <s v="24BAE004"/>
    <s v="AMUTHABALA M "/>
    <n v="1"/>
    <x v="12"/>
    <x v="12"/>
    <n v="76"/>
    <n v="0"/>
    <n v="76"/>
    <n v="0"/>
    <s v="Pass"/>
    <n v="1"/>
    <n v="8"/>
    <n v="1"/>
    <n v="0"/>
  </r>
  <r>
    <s v="Aeronautical Engineering"/>
    <s v="24BAE004"/>
    <s v="AMUTHABALA M "/>
    <n v="1"/>
    <x v="13"/>
    <x v="13"/>
    <n v="30"/>
    <n v="45"/>
    <n v="75"/>
    <n v="-15"/>
    <s v="Pass"/>
    <n v="1"/>
    <n v="8"/>
    <n v="1"/>
    <n v="1"/>
  </r>
  <r>
    <s v="Aeronautical Engineering"/>
    <s v="24BAE004"/>
    <s v="AMUTHABALA M "/>
    <n v="1"/>
    <x v="25"/>
    <x v="25"/>
    <n v="89"/>
    <n v="0"/>
    <n v="89"/>
    <n v="0"/>
    <s v="Pass"/>
    <n v="1"/>
    <n v="9"/>
    <n v="1"/>
    <n v="0"/>
  </r>
  <r>
    <s v="Aeronautical Engineering"/>
    <s v="24BAE004"/>
    <s v="AMUTHABALA M "/>
    <n v="1"/>
    <x v="15"/>
    <x v="15"/>
    <n v="100"/>
    <n v="0"/>
    <n v="100"/>
    <n v="0"/>
    <s v="Pass"/>
    <n v="1"/>
    <n v="10"/>
    <n v="1"/>
    <n v="0"/>
  </r>
  <r>
    <s v="Aeronautical Engineering"/>
    <s v="24BAE004"/>
    <s v="AMUTHABALA M "/>
    <n v="1"/>
    <x v="16"/>
    <x v="16"/>
    <n v="92"/>
    <n v="0"/>
    <n v="92"/>
    <n v="0"/>
    <s v="Pass"/>
    <n v="1"/>
    <n v="10"/>
    <n v="1"/>
    <n v="0"/>
  </r>
  <r>
    <s v="Aeronautical Engineering"/>
    <s v="24BAE004"/>
    <s v="AMUTHABALA M "/>
    <n v="1"/>
    <x v="17"/>
    <x v="17"/>
    <n v="47"/>
    <n v="45"/>
    <n v="92"/>
    <n v="2"/>
    <s v="Pass"/>
    <n v="1"/>
    <n v="9"/>
    <n v="4"/>
    <n v="1"/>
  </r>
  <r>
    <s v="Aeronautical Engineering"/>
    <s v="24BAE004"/>
    <s v="AMUTHABALA M "/>
    <n v="1"/>
    <x v="18"/>
    <x v="18"/>
    <n v="41"/>
    <n v="39"/>
    <n v="80"/>
    <n v="2"/>
    <s v="Pass"/>
    <n v="1"/>
    <n v="8"/>
    <n v="3"/>
    <n v="1"/>
  </r>
  <r>
    <s v="Aeronautical Engineering"/>
    <s v="24BAE004"/>
    <s v="AMUTHABALA M "/>
    <n v="1"/>
    <x v="19"/>
    <x v="19"/>
    <n v="44"/>
    <n v="36"/>
    <n v="80"/>
    <n v="8"/>
    <s v="Pass"/>
    <n v="1"/>
    <n v="9"/>
    <n v="4"/>
    <n v="1"/>
  </r>
  <r>
    <s v="Aeronautical Engineering"/>
    <s v="24BAE005"/>
    <s v="ANANTHARAJ A "/>
    <n v="2"/>
    <x v="0"/>
    <x v="0"/>
    <n v="43"/>
    <n v="31"/>
    <n v="74"/>
    <n v="12"/>
    <s v="Pass"/>
    <n v="1"/>
    <n v="8"/>
    <n v="4"/>
    <n v="1"/>
  </r>
  <r>
    <s v="Aeronautical Engineering"/>
    <s v="24BAE005"/>
    <s v="ANANTHARAJ A "/>
    <n v="2"/>
    <x v="1"/>
    <x v="1"/>
    <n v="41"/>
    <n v="35"/>
    <n v="76"/>
    <n v="6"/>
    <s v="Pass"/>
    <n v="1"/>
    <n v="8"/>
    <n v="4"/>
    <n v="1"/>
  </r>
  <r>
    <s v="Aeronautical Engineering"/>
    <s v="24BAE005"/>
    <s v="ANANTHARAJ A "/>
    <n v="2"/>
    <x v="2"/>
    <x v="2"/>
    <n v="82"/>
    <n v="0"/>
    <n v="82"/>
    <n v="0"/>
    <s v="Pass"/>
    <n v="1"/>
    <n v="9"/>
    <n v="1"/>
    <n v="0"/>
  </r>
  <r>
    <s v="Aeronautical Engineering"/>
    <s v="24BAE005"/>
    <s v="ANANTHARAJ A "/>
    <n v="2"/>
    <x v="3"/>
    <x v="3"/>
    <n v="40"/>
    <n v="35"/>
    <n v="75"/>
    <n v="5"/>
    <s v="Pass"/>
    <n v="1"/>
    <n v="8"/>
    <n v="1"/>
    <n v="1"/>
  </r>
  <r>
    <s v="Aeronautical Engineering"/>
    <s v="24BAE005"/>
    <s v="ANANTHARAJ A "/>
    <n v="2"/>
    <x v="4"/>
    <x v="4"/>
    <n v="30"/>
    <n v="34"/>
    <n v="64"/>
    <n v="-4"/>
    <s v="Pass"/>
    <n v="1"/>
    <n v="7"/>
    <n v="2"/>
    <n v="1"/>
  </r>
  <r>
    <s v="Aeronautical Engineering"/>
    <s v="24BAE005"/>
    <s v="ANANTHARAJ A "/>
    <n v="2"/>
    <x v="22"/>
    <x v="22"/>
    <n v="78"/>
    <n v="0"/>
    <n v="78"/>
    <n v="0"/>
    <s v="Pass"/>
    <n v="1"/>
    <n v="8"/>
    <n v="1"/>
    <n v="0"/>
  </r>
  <r>
    <s v="Aeronautical Engineering"/>
    <s v="24BAE005"/>
    <s v="ANANTHARAJ A "/>
    <n v="2"/>
    <x v="6"/>
    <x v="6"/>
    <n v="94"/>
    <n v="0"/>
    <n v="94"/>
    <n v="0"/>
    <s v="Pass"/>
    <n v="1"/>
    <n v="10"/>
    <n v="1"/>
    <n v="0"/>
  </r>
  <r>
    <s v="Aeronautical Engineering"/>
    <s v="24BAE005"/>
    <s v="ANANTHARAJ A "/>
    <n v="2"/>
    <x v="7"/>
    <x v="7"/>
    <n v="46"/>
    <n v="38"/>
    <n v="84"/>
    <n v="8"/>
    <s v="Pass"/>
    <n v="1"/>
    <n v="8"/>
    <n v="4"/>
    <n v="1"/>
  </r>
  <r>
    <s v="Aeronautical Engineering"/>
    <s v="24BAE005"/>
    <s v="ANANTHARAJ A "/>
    <n v="2"/>
    <x v="8"/>
    <x v="8"/>
    <n v="32"/>
    <n v="54"/>
    <n v="86"/>
    <n v="-22"/>
    <s v="Pass"/>
    <n v="1"/>
    <n v="9"/>
    <n v="3"/>
    <n v="1"/>
  </r>
  <r>
    <s v="Aeronautical Engineering"/>
    <s v="24BAE005"/>
    <s v="ANANTHARAJ A "/>
    <n v="2"/>
    <x v="9"/>
    <x v="9"/>
    <n v="33"/>
    <n v="47"/>
    <n v="80"/>
    <n v="-14"/>
    <s v="Pass"/>
    <n v="1"/>
    <n v="8"/>
    <n v="3"/>
    <n v="1"/>
  </r>
  <r>
    <s v="Aeronautical Engineering"/>
    <s v="24BAE005"/>
    <s v="ANANTHARAJ A "/>
    <n v="1"/>
    <x v="10"/>
    <x v="10"/>
    <n v="97"/>
    <n v="0"/>
    <n v="97"/>
    <n v="0"/>
    <s v="Pass"/>
    <n v="1"/>
    <n v="10"/>
    <n v="1"/>
    <n v="0"/>
  </r>
  <r>
    <s v="Aeronautical Engineering"/>
    <s v="24BAE005"/>
    <s v="ANANTHARAJ A "/>
    <n v="1"/>
    <x v="11"/>
    <x v="11"/>
    <n v="21"/>
    <n v="46"/>
    <n v="67"/>
    <n v="-25"/>
    <s v="Pass"/>
    <n v="1"/>
    <n v="8"/>
    <n v="3"/>
    <n v="1"/>
  </r>
  <r>
    <s v="Aeronautical Engineering"/>
    <s v="24BAE005"/>
    <s v="ANANTHARAJ A "/>
    <n v="1"/>
    <x v="12"/>
    <x v="12"/>
    <n v="82"/>
    <n v="0"/>
    <n v="82"/>
    <n v="0"/>
    <s v="Pass"/>
    <n v="1"/>
    <n v="9"/>
    <n v="1"/>
    <n v="0"/>
  </r>
  <r>
    <s v="Aeronautical Engineering"/>
    <s v="24BAE005"/>
    <s v="ANANTHARAJ A "/>
    <n v="1"/>
    <x v="13"/>
    <x v="13"/>
    <n v="30"/>
    <n v="44"/>
    <n v="74"/>
    <n v="-14"/>
    <s v="Pass"/>
    <n v="1"/>
    <n v="8"/>
    <n v="1"/>
    <n v="1"/>
  </r>
  <r>
    <s v="Aeronautical Engineering"/>
    <s v="24BAE005"/>
    <s v="ANANTHARAJ A "/>
    <n v="1"/>
    <x v="25"/>
    <x v="25"/>
    <n v="87"/>
    <n v="0"/>
    <n v="87"/>
    <n v="0"/>
    <s v="Pass"/>
    <n v="1"/>
    <n v="9"/>
    <n v="1"/>
    <n v="0"/>
  </r>
  <r>
    <s v="Aeronautical Engineering"/>
    <s v="24BAE005"/>
    <s v="ANANTHARAJ A "/>
    <n v="1"/>
    <x v="15"/>
    <x v="15"/>
    <n v="90"/>
    <n v="0"/>
    <n v="90"/>
    <n v="0"/>
    <s v="Pass"/>
    <n v="1"/>
    <n v="9"/>
    <n v="1"/>
    <n v="0"/>
  </r>
  <r>
    <s v="Aeronautical Engineering"/>
    <s v="24BAE005"/>
    <s v="ANANTHARAJ A "/>
    <n v="1"/>
    <x v="16"/>
    <x v="16"/>
    <n v="84"/>
    <n v="0"/>
    <n v="84"/>
    <n v="0"/>
    <s v="Pass"/>
    <n v="1"/>
    <n v="9"/>
    <n v="1"/>
    <n v="0"/>
  </r>
  <r>
    <s v="Aeronautical Engineering"/>
    <s v="24BAE005"/>
    <s v="ANANTHARAJ A "/>
    <n v="1"/>
    <x v="17"/>
    <x v="17"/>
    <n v="44"/>
    <n v="41"/>
    <n v="85"/>
    <n v="3"/>
    <s v="Pass"/>
    <n v="1"/>
    <n v="8"/>
    <n v="4"/>
    <n v="1"/>
  </r>
  <r>
    <s v="Aeronautical Engineering"/>
    <s v="24BAE005"/>
    <s v="ANANTHARAJ A "/>
    <n v="1"/>
    <x v="18"/>
    <x v="18"/>
    <n v="41"/>
    <n v="28"/>
    <n v="69"/>
    <n v="13"/>
    <s v="Pass"/>
    <n v="1"/>
    <n v="7"/>
    <n v="3"/>
    <n v="1"/>
  </r>
  <r>
    <s v="Aeronautical Engineering"/>
    <s v="24BAE005"/>
    <s v="ANANTHARAJ A "/>
    <n v="1"/>
    <x v="19"/>
    <x v="19"/>
    <n v="39"/>
    <n v="28"/>
    <n v="67"/>
    <n v="11"/>
    <s v="Pass"/>
    <n v="1"/>
    <n v="8"/>
    <n v="4"/>
    <n v="1"/>
  </r>
  <r>
    <s v="Aeronautical Engineering"/>
    <s v="24BAE006"/>
    <s v="ASARAJAN M "/>
    <n v="2"/>
    <x v="0"/>
    <x v="0"/>
    <n v="45"/>
    <n v="30"/>
    <n v="75"/>
    <n v="15"/>
    <s v="Pass"/>
    <n v="1"/>
    <n v="8"/>
    <n v="4"/>
    <n v="1"/>
  </r>
  <r>
    <s v="Aeronautical Engineering"/>
    <s v="24BAE006"/>
    <s v="ASARAJAN M "/>
    <n v="2"/>
    <x v="1"/>
    <x v="1"/>
    <n v="42"/>
    <n v="34"/>
    <n v="76"/>
    <n v="8"/>
    <s v="Pass"/>
    <n v="1"/>
    <n v="8"/>
    <n v="4"/>
    <n v="1"/>
  </r>
  <r>
    <s v="Aeronautical Engineering"/>
    <s v="24BAE006"/>
    <s v="ASARAJAN M "/>
    <n v="2"/>
    <x v="3"/>
    <x v="3"/>
    <n v="39"/>
    <n v="35"/>
    <n v="74"/>
    <n v="4"/>
    <s v="Pass"/>
    <n v="1"/>
    <n v="7"/>
    <n v="1"/>
    <n v="1"/>
  </r>
  <r>
    <s v="Aeronautical Engineering"/>
    <s v="24BAE006"/>
    <s v="ASARAJAN M "/>
    <n v="2"/>
    <x v="20"/>
    <x v="20"/>
    <n v="31"/>
    <n v="43"/>
    <n v="74"/>
    <n v="-12"/>
    <s v="Pass"/>
    <n v="1"/>
    <n v="8"/>
    <n v="2"/>
    <n v="1"/>
  </r>
  <r>
    <s v="Aeronautical Engineering"/>
    <s v="24BAE006"/>
    <s v="ASARAJAN M "/>
    <n v="2"/>
    <x v="26"/>
    <x v="26"/>
    <n v="51"/>
    <n v="34"/>
    <n v="85"/>
    <n v="17"/>
    <s v="Pass"/>
    <n v="1"/>
    <n v="9"/>
    <n v="3"/>
    <n v="1"/>
  </r>
  <r>
    <s v="Aeronautical Engineering"/>
    <s v="24BAE006"/>
    <s v="ASARAJAN M "/>
    <n v="2"/>
    <x v="7"/>
    <x v="7"/>
    <n v="46"/>
    <n v="37"/>
    <n v="83"/>
    <n v="9"/>
    <s v="Pass"/>
    <n v="1"/>
    <n v="8"/>
    <n v="4"/>
    <n v="1"/>
  </r>
  <r>
    <s v="Aeronautical Engineering"/>
    <s v="24BAE006"/>
    <s v="ASARAJAN M "/>
    <n v="2"/>
    <x v="8"/>
    <x v="8"/>
    <n v="26"/>
    <n v="40"/>
    <n v="66"/>
    <n v="-14"/>
    <s v="Pass"/>
    <n v="1"/>
    <n v="7"/>
    <n v="3"/>
    <n v="1"/>
  </r>
  <r>
    <s v="Aeronautical Engineering"/>
    <s v="24BAE006"/>
    <s v="ASARAJAN M "/>
    <n v="2"/>
    <x v="9"/>
    <x v="9"/>
    <n v="32"/>
    <n v="40"/>
    <n v="72"/>
    <n v="-8"/>
    <s v="Pass"/>
    <n v="1"/>
    <n v="8"/>
    <n v="3"/>
    <n v="1"/>
  </r>
  <r>
    <s v="Aeronautical Engineering"/>
    <s v="24BAE006"/>
    <s v="ASARAJAN M "/>
    <n v="1"/>
    <x v="10"/>
    <x v="10"/>
    <n v="90"/>
    <n v="0"/>
    <n v="90"/>
    <n v="0"/>
    <s v="Pass"/>
    <n v="1"/>
    <n v="9"/>
    <n v="1"/>
    <n v="0"/>
  </r>
  <r>
    <s v="Aeronautical Engineering"/>
    <s v="24BAE006"/>
    <s v="ASARAJAN M "/>
    <n v="1"/>
    <x v="11"/>
    <x v="11"/>
    <n v="23"/>
    <n v="40"/>
    <n v="63"/>
    <n v="-17"/>
    <s v="Pass"/>
    <n v="1"/>
    <n v="8"/>
    <n v="3"/>
    <n v="1"/>
  </r>
  <r>
    <s v="Aeronautical Engineering"/>
    <s v="24BAE006"/>
    <s v="ASARAJAN M "/>
    <n v="1"/>
    <x v="12"/>
    <x v="12"/>
    <n v="87"/>
    <n v="0"/>
    <n v="87"/>
    <n v="0"/>
    <s v="Pass"/>
    <n v="1"/>
    <n v="9"/>
    <n v="1"/>
    <n v="0"/>
  </r>
  <r>
    <s v="Aeronautical Engineering"/>
    <s v="24BAE006"/>
    <s v="ASARAJAN M "/>
    <n v="1"/>
    <x v="13"/>
    <x v="13"/>
    <n v="31"/>
    <n v="40"/>
    <n v="71"/>
    <n v="-9"/>
    <s v="Pass"/>
    <n v="1"/>
    <n v="7"/>
    <n v="1"/>
    <n v="1"/>
  </r>
  <r>
    <s v="Aeronautical Engineering"/>
    <s v="24BAE006"/>
    <s v="ASARAJAN M "/>
    <n v="1"/>
    <x v="27"/>
    <x v="27"/>
    <n v="58"/>
    <n v="38"/>
    <n v="96"/>
    <n v="20"/>
    <s v="Pass"/>
    <n v="1"/>
    <n v="10"/>
    <n v="3"/>
    <n v="1"/>
  </r>
  <r>
    <s v="Aeronautical Engineering"/>
    <s v="24BAE006"/>
    <s v="ASARAJAN M "/>
    <n v="1"/>
    <x v="17"/>
    <x v="17"/>
    <n v="48"/>
    <n v="45"/>
    <n v="93"/>
    <n v="3"/>
    <s v="Pass"/>
    <n v="1"/>
    <n v="10"/>
    <n v="4"/>
    <n v="1"/>
  </r>
  <r>
    <s v="Aeronautical Engineering"/>
    <s v="24BAE006"/>
    <s v="ASARAJAN M "/>
    <n v="1"/>
    <x v="18"/>
    <x v="18"/>
    <n v="45"/>
    <n v="37"/>
    <n v="82"/>
    <n v="8"/>
    <s v="Pass"/>
    <n v="1"/>
    <n v="8"/>
    <n v="3"/>
    <n v="1"/>
  </r>
  <r>
    <s v="Aeronautical Engineering"/>
    <s v="24BAE006"/>
    <s v="ASARAJAN M "/>
    <n v="1"/>
    <x v="19"/>
    <x v="19"/>
    <n v="38"/>
    <n v="33"/>
    <n v="71"/>
    <n v="5"/>
    <s v="Pass"/>
    <n v="1"/>
    <n v="8"/>
    <n v="4"/>
    <n v="1"/>
  </r>
  <r>
    <s v="Aeronautical Engineering"/>
    <s v="24BAE007"/>
    <s v="AVANISH S "/>
    <n v="2"/>
    <x v="8"/>
    <x v="8"/>
    <n v="21"/>
    <n v="23"/>
    <n v="44"/>
    <n v="-2"/>
    <s v="Fail"/>
    <n v="0"/>
    <n v="0"/>
    <n v="3"/>
    <n v="1"/>
  </r>
  <r>
    <s v="Aeronautical Engineering"/>
    <s v="24BAE007"/>
    <s v="AVANISH S "/>
    <n v="2"/>
    <x v="0"/>
    <x v="0"/>
    <n v="41"/>
    <n v="26"/>
    <n v="67"/>
    <n v="15"/>
    <s v="Pass"/>
    <n v="1"/>
    <n v="7"/>
    <n v="4"/>
    <n v="1"/>
  </r>
  <r>
    <s v="Aeronautical Engineering"/>
    <s v="24BAE007"/>
    <s v="AVANISH S "/>
    <n v="2"/>
    <x v="1"/>
    <x v="1"/>
    <n v="34"/>
    <n v="28"/>
    <n v="62"/>
    <n v="6"/>
    <s v="Pass"/>
    <n v="1"/>
    <n v="7"/>
    <n v="4"/>
    <n v="1"/>
  </r>
  <r>
    <s v="Aeronautical Engineering"/>
    <s v="24BAE007"/>
    <s v="AVANISH S "/>
    <n v="2"/>
    <x v="11"/>
    <x v="11"/>
    <n v="27"/>
    <n v="36"/>
    <n v="63"/>
    <n v="-9"/>
    <s v="Pass"/>
    <n v="1"/>
    <n v="8"/>
    <n v="3"/>
    <n v="1"/>
  </r>
  <r>
    <s v="Aeronautical Engineering"/>
    <s v="24BAE007"/>
    <s v="AVANISH S "/>
    <n v="2"/>
    <x v="2"/>
    <x v="2"/>
    <n v="82"/>
    <n v="0"/>
    <n v="82"/>
    <n v="0"/>
    <s v="Pass"/>
    <n v="1"/>
    <n v="9"/>
    <n v="1"/>
    <n v="0"/>
  </r>
  <r>
    <s v="Aeronautical Engineering"/>
    <s v="24BAE007"/>
    <s v="AVANISH S "/>
    <n v="2"/>
    <x v="3"/>
    <x v="3"/>
    <n v="39"/>
    <n v="36"/>
    <n v="75"/>
    <n v="3"/>
    <s v="Pass"/>
    <n v="1"/>
    <n v="8"/>
    <n v="1"/>
    <n v="1"/>
  </r>
  <r>
    <s v="Aeronautical Engineering"/>
    <s v="24BAE007"/>
    <s v="AVANISH S "/>
    <n v="2"/>
    <x v="4"/>
    <x v="4"/>
    <n v="23"/>
    <n v="37"/>
    <n v="60"/>
    <n v="-14"/>
    <s v="Pass"/>
    <n v="1"/>
    <n v="6"/>
    <n v="2"/>
    <n v="1"/>
  </r>
  <r>
    <s v="Aeronautical Engineering"/>
    <s v="24BAE007"/>
    <s v="AVANISH S "/>
    <n v="2"/>
    <x v="5"/>
    <x v="5"/>
    <n v="67"/>
    <n v="0"/>
    <n v="67"/>
    <n v="0"/>
    <s v="Pass"/>
    <n v="1"/>
    <n v="7"/>
    <n v="1"/>
    <n v="0"/>
  </r>
  <r>
    <s v="Aeronautical Engineering"/>
    <s v="24BAE007"/>
    <s v="AVANISH S "/>
    <n v="2"/>
    <x v="6"/>
    <x v="6"/>
    <n v="94"/>
    <n v="0"/>
    <n v="94"/>
    <n v="0"/>
    <s v="Pass"/>
    <n v="1"/>
    <n v="10"/>
    <n v="1"/>
    <n v="0"/>
  </r>
  <r>
    <s v="Aeronautical Engineering"/>
    <s v="24BAE007"/>
    <s v="AVANISH S "/>
    <n v="2"/>
    <x v="7"/>
    <x v="7"/>
    <n v="40"/>
    <n v="30"/>
    <n v="70"/>
    <n v="10"/>
    <s v="Pass"/>
    <n v="1"/>
    <n v="8"/>
    <n v="4"/>
    <n v="1"/>
  </r>
  <r>
    <s v="Aeronautical Engineering"/>
    <s v="24BAE007"/>
    <s v="AVANISH S "/>
    <n v="2"/>
    <x v="9"/>
    <x v="9"/>
    <n v="22"/>
    <n v="34"/>
    <n v="56"/>
    <n v="-12"/>
    <s v="Pass"/>
    <n v="1"/>
    <n v="6"/>
    <n v="3"/>
    <n v="1"/>
  </r>
  <r>
    <s v="Aeronautical Engineering"/>
    <s v="24BAE007"/>
    <s v="AVANISH S "/>
    <n v="1"/>
    <x v="10"/>
    <x v="10"/>
    <n v="87"/>
    <n v="0"/>
    <n v="87"/>
    <n v="0"/>
    <s v="Pass"/>
    <n v="1"/>
    <n v="9"/>
    <n v="1"/>
    <n v="0"/>
  </r>
  <r>
    <s v="Aeronautical Engineering"/>
    <s v="24BAE007"/>
    <s v="AVANISH S "/>
    <n v="1"/>
    <x v="11"/>
    <x v="11"/>
    <n v="27"/>
    <n v="14"/>
    <n v="41"/>
    <n v="13"/>
    <s v="Fail"/>
    <n v="0"/>
    <n v="0"/>
    <n v="3"/>
    <n v="1"/>
  </r>
  <r>
    <s v="Aeronautical Engineering"/>
    <s v="24BAE007"/>
    <s v="AVANISH S "/>
    <n v="1"/>
    <x v="12"/>
    <x v="12"/>
    <n v="83"/>
    <n v="0"/>
    <n v="83"/>
    <n v="0"/>
    <s v="Pass"/>
    <n v="1"/>
    <n v="9"/>
    <n v="1"/>
    <n v="0"/>
  </r>
  <r>
    <s v="Aeronautical Engineering"/>
    <s v="24BAE007"/>
    <s v="AVANISH S "/>
    <n v="1"/>
    <x v="13"/>
    <x v="13"/>
    <n v="32"/>
    <n v="42"/>
    <n v="74"/>
    <n v="-10"/>
    <s v="Pass"/>
    <n v="1"/>
    <n v="8"/>
    <n v="1"/>
    <n v="1"/>
  </r>
  <r>
    <s v="Aeronautical Engineering"/>
    <s v="24BAE007"/>
    <s v="AVANISH S "/>
    <n v="1"/>
    <x v="28"/>
    <x v="28"/>
    <n v="99"/>
    <n v="0"/>
    <n v="99"/>
    <n v="0"/>
    <s v="Pass"/>
    <n v="1"/>
    <n v="10"/>
    <n v="1"/>
    <n v="0"/>
  </r>
  <r>
    <s v="Aeronautical Engineering"/>
    <s v="24BAE007"/>
    <s v="AVANISH S "/>
    <n v="1"/>
    <x v="15"/>
    <x v="15"/>
    <n v="80"/>
    <n v="0"/>
    <n v="80"/>
    <n v="0"/>
    <s v="Pass"/>
    <n v="1"/>
    <n v="8"/>
    <n v="1"/>
    <n v="0"/>
  </r>
  <r>
    <s v="Aeronautical Engineering"/>
    <s v="24BAE007"/>
    <s v="AVANISH S "/>
    <n v="1"/>
    <x v="16"/>
    <x v="16"/>
    <n v="85"/>
    <n v="0"/>
    <n v="85"/>
    <n v="0"/>
    <s v="Pass"/>
    <n v="1"/>
    <n v="9"/>
    <n v="1"/>
    <n v="0"/>
  </r>
  <r>
    <s v="Aeronautical Engineering"/>
    <s v="24BAE007"/>
    <s v="AVANISH S "/>
    <n v="1"/>
    <x v="17"/>
    <x v="17"/>
    <n v="42"/>
    <n v="38"/>
    <n v="80"/>
    <n v="4"/>
    <s v="Pass"/>
    <n v="1"/>
    <n v="8"/>
    <n v="4"/>
    <n v="1"/>
  </r>
  <r>
    <s v="Aeronautical Engineering"/>
    <s v="24BAE007"/>
    <s v="AVANISH S "/>
    <n v="1"/>
    <x v="18"/>
    <x v="18"/>
    <n v="39"/>
    <n v="38"/>
    <n v="77"/>
    <n v="1"/>
    <s v="Pass"/>
    <n v="1"/>
    <n v="8"/>
    <n v="3"/>
    <n v="1"/>
  </r>
  <r>
    <s v="Aeronautical Engineering"/>
    <s v="24BAE007"/>
    <s v="AVANISH S "/>
    <n v="1"/>
    <x v="19"/>
    <x v="19"/>
    <n v="35"/>
    <n v="33"/>
    <n v="68"/>
    <n v="2"/>
    <s v="Pass"/>
    <n v="1"/>
    <n v="8"/>
    <n v="4"/>
    <n v="1"/>
  </r>
  <r>
    <s v="Aeronautical Engineering"/>
    <s v="24BAE008"/>
    <s v="BAVADHARANI B "/>
    <n v="2"/>
    <x v="0"/>
    <x v="0"/>
    <n v="44"/>
    <n v="42"/>
    <n v="86"/>
    <n v="2"/>
    <s v="Pass"/>
    <n v="1"/>
    <n v="8"/>
    <n v="4"/>
    <n v="1"/>
  </r>
  <r>
    <s v="Aeronautical Engineering"/>
    <s v="24BAE008"/>
    <s v="BAVADHARANI B "/>
    <n v="2"/>
    <x v="1"/>
    <x v="1"/>
    <n v="41"/>
    <n v="39"/>
    <n v="80"/>
    <n v="2"/>
    <s v="Pass"/>
    <n v="1"/>
    <n v="8"/>
    <n v="4"/>
    <n v="1"/>
  </r>
  <r>
    <s v="Aeronautical Engineering"/>
    <s v="24BAE008"/>
    <s v="BAVADHARANI B "/>
    <n v="2"/>
    <x v="2"/>
    <x v="2"/>
    <n v="85"/>
    <n v="0"/>
    <n v="85"/>
    <n v="0"/>
    <s v="Pass"/>
    <n v="1"/>
    <n v="9"/>
    <n v="1"/>
    <n v="0"/>
  </r>
  <r>
    <s v="Aeronautical Engineering"/>
    <s v="24BAE008"/>
    <s v="BAVADHARANI B "/>
    <n v="2"/>
    <x v="3"/>
    <x v="3"/>
    <n v="40"/>
    <n v="38"/>
    <n v="78"/>
    <n v="2"/>
    <s v="Pass"/>
    <n v="1"/>
    <n v="8"/>
    <n v="1"/>
    <n v="1"/>
  </r>
  <r>
    <s v="Aeronautical Engineering"/>
    <s v="24BAE008"/>
    <s v="BAVADHARANI B "/>
    <n v="2"/>
    <x v="4"/>
    <x v="4"/>
    <n v="31"/>
    <n v="42"/>
    <n v="73"/>
    <n v="-11"/>
    <s v="Pass"/>
    <n v="1"/>
    <n v="7"/>
    <n v="2"/>
    <n v="1"/>
  </r>
  <r>
    <s v="Aeronautical Engineering"/>
    <s v="24BAE008"/>
    <s v="BAVADHARANI B "/>
    <n v="2"/>
    <x v="29"/>
    <x v="29"/>
    <n v="85"/>
    <n v="0"/>
    <n v="85"/>
    <n v="0"/>
    <s v="Pass"/>
    <n v="1"/>
    <n v="9"/>
    <n v="1"/>
    <n v="0"/>
  </r>
  <r>
    <s v="Aeronautical Engineering"/>
    <s v="24BAE008"/>
    <s v="BAVADHARANI B "/>
    <n v="2"/>
    <x v="6"/>
    <x v="6"/>
    <n v="96"/>
    <n v="0"/>
    <n v="96"/>
    <n v="0"/>
    <s v="Pass"/>
    <n v="1"/>
    <n v="10"/>
    <n v="1"/>
    <n v="0"/>
  </r>
  <r>
    <s v="Aeronautical Engineering"/>
    <s v="24BAE008"/>
    <s v="BAVADHARANI B "/>
    <n v="2"/>
    <x v="7"/>
    <x v="7"/>
    <n v="45"/>
    <n v="36"/>
    <n v="81"/>
    <n v="9"/>
    <s v="Pass"/>
    <n v="1"/>
    <n v="8"/>
    <n v="4"/>
    <n v="1"/>
  </r>
  <r>
    <s v="Aeronautical Engineering"/>
    <s v="24BAE008"/>
    <s v="BAVADHARANI B "/>
    <n v="2"/>
    <x v="8"/>
    <x v="8"/>
    <n v="24"/>
    <n v="52"/>
    <n v="76"/>
    <n v="-28"/>
    <s v="Pass"/>
    <n v="1"/>
    <n v="8"/>
    <n v="3"/>
    <n v="1"/>
  </r>
  <r>
    <s v="Aeronautical Engineering"/>
    <s v="24BAE008"/>
    <s v="BAVADHARANI B "/>
    <n v="2"/>
    <x v="9"/>
    <x v="9"/>
    <n v="31"/>
    <n v="46"/>
    <n v="77"/>
    <n v="-15"/>
    <s v="Pass"/>
    <n v="1"/>
    <n v="8"/>
    <n v="3"/>
    <n v="1"/>
  </r>
  <r>
    <s v="Aeronautical Engineering"/>
    <s v="24BAE008"/>
    <s v="BAVADHARANI B "/>
    <n v="1"/>
    <x v="10"/>
    <x v="10"/>
    <n v="89"/>
    <n v="0"/>
    <n v="89"/>
    <n v="0"/>
    <s v="Pass"/>
    <n v="1"/>
    <n v="9"/>
    <n v="1"/>
    <n v="0"/>
  </r>
  <r>
    <s v="Aeronautical Engineering"/>
    <s v="24BAE008"/>
    <s v="BAVADHARANI B "/>
    <n v="1"/>
    <x v="11"/>
    <x v="11"/>
    <n v="28"/>
    <n v="49"/>
    <n v="77"/>
    <n v="-21"/>
    <s v="Pass"/>
    <n v="1"/>
    <n v="10"/>
    <n v="3"/>
    <n v="1"/>
  </r>
  <r>
    <s v="Aeronautical Engineering"/>
    <s v="24BAE008"/>
    <s v="BAVADHARANI B "/>
    <n v="1"/>
    <x v="12"/>
    <x v="12"/>
    <n v="50"/>
    <n v="0"/>
    <n v="50"/>
    <n v="0"/>
    <s v="Pass"/>
    <n v="1"/>
    <n v="5"/>
    <n v="1"/>
    <n v="0"/>
  </r>
  <r>
    <s v="Aeronautical Engineering"/>
    <s v="24BAE008"/>
    <s v="BAVADHARANI B "/>
    <n v="1"/>
    <x v="13"/>
    <x v="13"/>
    <n v="27"/>
    <n v="38"/>
    <n v="65"/>
    <n v="-11"/>
    <s v="Pass"/>
    <n v="1"/>
    <n v="7"/>
    <n v="1"/>
    <n v="1"/>
  </r>
  <r>
    <s v="Aeronautical Engineering"/>
    <s v="24BAE008"/>
    <s v="BAVADHARANI B "/>
    <n v="1"/>
    <x v="22"/>
    <x v="22"/>
    <n v="84"/>
    <n v="0"/>
    <n v="84"/>
    <n v="0"/>
    <s v="Pass"/>
    <n v="1"/>
    <n v="9"/>
    <n v="1"/>
    <n v="0"/>
  </r>
  <r>
    <s v="Aeronautical Engineering"/>
    <s v="24BAE008"/>
    <s v="BAVADHARANI B "/>
    <n v="1"/>
    <x v="15"/>
    <x v="15"/>
    <n v="80"/>
    <n v="0"/>
    <n v="80"/>
    <n v="0"/>
    <s v="Pass"/>
    <n v="1"/>
    <n v="8"/>
    <n v="1"/>
    <n v="0"/>
  </r>
  <r>
    <s v="Aeronautical Engineering"/>
    <s v="24BAE008"/>
    <s v="BAVADHARANI B "/>
    <n v="1"/>
    <x v="16"/>
    <x v="16"/>
    <n v="86"/>
    <n v="0"/>
    <n v="86"/>
    <n v="0"/>
    <s v="Pass"/>
    <n v="1"/>
    <n v="9"/>
    <n v="1"/>
    <n v="0"/>
  </r>
  <r>
    <s v="Aeronautical Engineering"/>
    <s v="24BAE008"/>
    <s v="BAVADHARANI B "/>
    <n v="1"/>
    <x v="17"/>
    <x v="17"/>
    <n v="44"/>
    <n v="46"/>
    <n v="90"/>
    <n v="-2"/>
    <s v="Pass"/>
    <n v="1"/>
    <n v="9"/>
    <n v="4"/>
    <n v="1"/>
  </r>
  <r>
    <s v="Aeronautical Engineering"/>
    <s v="24BAE008"/>
    <s v="BAVADHARANI B "/>
    <n v="1"/>
    <x v="18"/>
    <x v="18"/>
    <n v="44"/>
    <n v="40"/>
    <n v="84"/>
    <n v="4"/>
    <s v="Pass"/>
    <n v="1"/>
    <n v="8"/>
    <n v="3"/>
    <n v="1"/>
  </r>
  <r>
    <s v="Aeronautical Engineering"/>
    <s v="24BAE008"/>
    <s v="BAVADHARANI B "/>
    <n v="1"/>
    <x v="19"/>
    <x v="19"/>
    <n v="41"/>
    <n v="44"/>
    <n v="85"/>
    <n v="-3"/>
    <s v="Pass"/>
    <n v="1"/>
    <n v="9"/>
    <n v="4"/>
    <n v="1"/>
  </r>
  <r>
    <s v="Aeronautical Engineering"/>
    <s v="24BAE009"/>
    <s v="BHAGYA BALAKRISHNAN "/>
    <n v="2"/>
    <x v="0"/>
    <x v="0"/>
    <n v="43"/>
    <n v="30"/>
    <n v="73"/>
    <n v="13"/>
    <s v="Pass"/>
    <n v="1"/>
    <n v="8"/>
    <n v="4"/>
    <n v="1"/>
  </r>
  <r>
    <s v="Aeronautical Engineering"/>
    <s v="24BAE009"/>
    <s v="BHAGYA BALAKRISHNAN "/>
    <n v="2"/>
    <x v="1"/>
    <x v="1"/>
    <n v="40"/>
    <n v="34"/>
    <n v="74"/>
    <n v="6"/>
    <s v="Pass"/>
    <n v="1"/>
    <n v="8"/>
    <n v="4"/>
    <n v="1"/>
  </r>
  <r>
    <s v="Aeronautical Engineering"/>
    <s v="24BAE009"/>
    <s v="BHAGYA BALAKRISHNAN "/>
    <n v="2"/>
    <x v="3"/>
    <x v="3"/>
    <n v="36"/>
    <n v="36"/>
    <n v="72"/>
    <n v="0"/>
    <s v="Pass"/>
    <n v="1"/>
    <n v="7"/>
    <n v="1"/>
    <n v="1"/>
  </r>
  <r>
    <s v="Aeronautical Engineering"/>
    <s v="24BAE009"/>
    <s v="BHAGYA BALAKRISHNAN "/>
    <n v="2"/>
    <x v="20"/>
    <x v="20"/>
    <n v="25"/>
    <n v="43"/>
    <n v="68"/>
    <n v="-18"/>
    <s v="Pass"/>
    <n v="1"/>
    <n v="7"/>
    <n v="2"/>
    <n v="1"/>
  </r>
  <r>
    <s v="Aeronautical Engineering"/>
    <s v="24BAE009"/>
    <s v="BHAGYA BALAKRISHNAN "/>
    <n v="2"/>
    <x v="26"/>
    <x v="26"/>
    <n v="54"/>
    <n v="36"/>
    <n v="90"/>
    <n v="18"/>
    <s v="Pass"/>
    <n v="1"/>
    <n v="9"/>
    <n v="3"/>
    <n v="1"/>
  </r>
  <r>
    <s v="Aeronautical Engineering"/>
    <s v="24BAE009"/>
    <s v="BHAGYA BALAKRISHNAN "/>
    <n v="2"/>
    <x v="7"/>
    <x v="7"/>
    <n v="37"/>
    <n v="33"/>
    <n v="70"/>
    <n v="4"/>
    <s v="Pass"/>
    <n v="1"/>
    <n v="8"/>
    <n v="4"/>
    <n v="1"/>
  </r>
  <r>
    <s v="Aeronautical Engineering"/>
    <s v="24BAE009"/>
    <s v="BHAGYA BALAKRISHNAN "/>
    <n v="2"/>
    <x v="8"/>
    <x v="8"/>
    <n v="20"/>
    <n v="37"/>
    <n v="57"/>
    <n v="-17"/>
    <s v="Pass"/>
    <n v="1"/>
    <n v="6"/>
    <n v="3"/>
    <n v="1"/>
  </r>
  <r>
    <s v="Aeronautical Engineering"/>
    <s v="24BAE009"/>
    <s v="BHAGYA BALAKRISHNAN "/>
    <n v="2"/>
    <x v="9"/>
    <x v="9"/>
    <n v="32"/>
    <n v="34"/>
    <n v="66"/>
    <n v="-2"/>
    <s v="Pass"/>
    <n v="1"/>
    <n v="7"/>
    <n v="3"/>
    <n v="1"/>
  </r>
  <r>
    <s v="Aeronautical Engineering"/>
    <s v="24BAE009"/>
    <s v="BHAGYA BALAKRISHNAN "/>
    <n v="1"/>
    <x v="10"/>
    <x v="10"/>
    <n v="73"/>
    <n v="0"/>
    <n v="73"/>
    <n v="0"/>
    <s v="Pass"/>
    <n v="1"/>
    <n v="8"/>
    <n v="1"/>
    <n v="0"/>
  </r>
  <r>
    <s v="Aeronautical Engineering"/>
    <s v="24BAE009"/>
    <s v="BHAGYA BALAKRISHNAN "/>
    <n v="1"/>
    <x v="11"/>
    <x v="11"/>
    <n v="24"/>
    <n v="40"/>
    <n v="64"/>
    <n v="-16"/>
    <s v="Pass"/>
    <n v="1"/>
    <n v="8"/>
    <n v="3"/>
    <n v="1"/>
  </r>
  <r>
    <s v="Aeronautical Engineering"/>
    <s v="24BAE009"/>
    <s v="BHAGYA BALAKRISHNAN "/>
    <n v="1"/>
    <x v="12"/>
    <x v="12"/>
    <n v="83"/>
    <n v="0"/>
    <n v="83"/>
    <n v="0"/>
    <s v="Pass"/>
    <n v="1"/>
    <n v="9"/>
    <n v="1"/>
    <n v="0"/>
  </r>
  <r>
    <s v="Aeronautical Engineering"/>
    <s v="24BAE009"/>
    <s v="BHAGYA BALAKRISHNAN "/>
    <n v="1"/>
    <x v="13"/>
    <x v="13"/>
    <n v="22"/>
    <n v="34"/>
    <n v="56"/>
    <n v="-12"/>
    <s v="Pass"/>
    <n v="1"/>
    <n v="6"/>
    <n v="1"/>
    <n v="1"/>
  </r>
  <r>
    <s v="Aeronautical Engineering"/>
    <s v="24BAE009"/>
    <s v="BHAGYA BALAKRISHNAN "/>
    <n v="1"/>
    <x v="27"/>
    <x v="27"/>
    <n v="59"/>
    <n v="39"/>
    <n v="98"/>
    <n v="20"/>
    <s v="Pass"/>
    <n v="1"/>
    <n v="10"/>
    <n v="3"/>
    <n v="1"/>
  </r>
  <r>
    <s v="Aeronautical Engineering"/>
    <s v="24BAE009"/>
    <s v="BHAGYA BALAKRISHNAN "/>
    <n v="1"/>
    <x v="17"/>
    <x v="17"/>
    <n v="45"/>
    <n v="41"/>
    <n v="86"/>
    <n v="4"/>
    <s v="Pass"/>
    <n v="1"/>
    <n v="8"/>
    <n v="4"/>
    <n v="1"/>
  </r>
  <r>
    <s v="Aeronautical Engineering"/>
    <s v="24BAE009"/>
    <s v="BHAGYA BALAKRISHNAN "/>
    <n v="1"/>
    <x v="18"/>
    <x v="18"/>
    <n v="42"/>
    <n v="43"/>
    <n v="85"/>
    <n v="-1"/>
    <s v="Pass"/>
    <n v="1"/>
    <n v="8"/>
    <n v="3"/>
    <n v="1"/>
  </r>
  <r>
    <s v="Aeronautical Engineering"/>
    <s v="24BAE009"/>
    <s v="BHAGYA BALAKRISHNAN "/>
    <n v="1"/>
    <x v="19"/>
    <x v="19"/>
    <n v="37"/>
    <n v="31"/>
    <n v="68"/>
    <n v="6"/>
    <s v="Pass"/>
    <n v="1"/>
    <n v="8"/>
    <n v="4"/>
    <n v="1"/>
  </r>
  <r>
    <s v="Aeronautical Engineering"/>
    <s v="24BAE010"/>
    <s v="BHARATH N "/>
    <n v="2"/>
    <x v="0"/>
    <x v="0"/>
    <n v="48"/>
    <n v="40"/>
    <n v="88"/>
    <n v="8"/>
    <s v="Pass"/>
    <n v="1"/>
    <n v="8"/>
    <n v="4"/>
    <n v="1"/>
  </r>
  <r>
    <s v="Aeronautical Engineering"/>
    <s v="24BAE010"/>
    <s v="BHARATH N "/>
    <n v="2"/>
    <x v="1"/>
    <x v="1"/>
    <n v="42"/>
    <n v="36"/>
    <n v="78"/>
    <n v="6"/>
    <s v="Pass"/>
    <n v="1"/>
    <n v="8"/>
    <n v="4"/>
    <n v="1"/>
  </r>
  <r>
    <s v="Aeronautical Engineering"/>
    <s v="24BAE010"/>
    <s v="BHARATH N "/>
    <n v="2"/>
    <x v="3"/>
    <x v="3"/>
    <n v="41"/>
    <n v="38"/>
    <n v="79"/>
    <n v="3"/>
    <s v="Pass"/>
    <n v="1"/>
    <n v="8"/>
    <n v="1"/>
    <n v="1"/>
  </r>
  <r>
    <s v="Aeronautical Engineering"/>
    <s v="24BAE010"/>
    <s v="BHARATH N "/>
    <n v="2"/>
    <x v="20"/>
    <x v="20"/>
    <n v="31"/>
    <n v="44"/>
    <n v="75"/>
    <n v="-13"/>
    <s v="Pass"/>
    <n v="1"/>
    <n v="8"/>
    <n v="2"/>
    <n v="1"/>
  </r>
  <r>
    <s v="Aeronautical Engineering"/>
    <s v="24BAE010"/>
    <s v="BHARATH N "/>
    <n v="2"/>
    <x v="26"/>
    <x v="26"/>
    <n v="50"/>
    <n v="34"/>
    <n v="84"/>
    <n v="16"/>
    <s v="Pass"/>
    <n v="1"/>
    <n v="9"/>
    <n v="3"/>
    <n v="1"/>
  </r>
  <r>
    <s v="Aeronautical Engineering"/>
    <s v="24BAE010"/>
    <s v="BHARATH N "/>
    <n v="2"/>
    <x v="7"/>
    <x v="7"/>
    <n v="44"/>
    <n v="36"/>
    <n v="80"/>
    <n v="8"/>
    <s v="Pass"/>
    <n v="1"/>
    <n v="8"/>
    <n v="4"/>
    <n v="1"/>
  </r>
  <r>
    <s v="Aeronautical Engineering"/>
    <s v="24BAE010"/>
    <s v="BHARATH N "/>
    <n v="2"/>
    <x v="8"/>
    <x v="8"/>
    <n v="32"/>
    <n v="46"/>
    <n v="78"/>
    <n v="-14"/>
    <s v="Pass"/>
    <n v="1"/>
    <n v="8"/>
    <n v="3"/>
    <n v="1"/>
  </r>
  <r>
    <s v="Aeronautical Engineering"/>
    <s v="24BAE010"/>
    <s v="BHARATH N "/>
    <n v="2"/>
    <x v="9"/>
    <x v="9"/>
    <n v="36"/>
    <n v="47"/>
    <n v="83"/>
    <n v="-11"/>
    <s v="Pass"/>
    <n v="1"/>
    <n v="8"/>
    <n v="3"/>
    <n v="1"/>
  </r>
  <r>
    <s v="Aeronautical Engineering"/>
    <s v="24BAE010"/>
    <s v="BHARATH N "/>
    <n v="1"/>
    <x v="10"/>
    <x v="10"/>
    <n v="90"/>
    <n v="0"/>
    <n v="90"/>
    <n v="0"/>
    <s v="Pass"/>
    <n v="1"/>
    <n v="9"/>
    <n v="1"/>
    <n v="0"/>
  </r>
  <r>
    <s v="Aeronautical Engineering"/>
    <s v="24BAE010"/>
    <s v="BHARATH N "/>
    <n v="1"/>
    <x v="11"/>
    <x v="11"/>
    <n v="33"/>
    <n v="36"/>
    <n v="69"/>
    <n v="-3"/>
    <s v="Pass"/>
    <n v="1"/>
    <n v="9"/>
    <n v="3"/>
    <n v="1"/>
  </r>
  <r>
    <s v="Aeronautical Engineering"/>
    <s v="24BAE010"/>
    <s v="BHARATH N "/>
    <n v="1"/>
    <x v="12"/>
    <x v="12"/>
    <n v="87"/>
    <n v="0"/>
    <n v="87"/>
    <n v="0"/>
    <s v="Pass"/>
    <n v="1"/>
    <n v="9"/>
    <n v="1"/>
    <n v="0"/>
  </r>
  <r>
    <s v="Aeronautical Engineering"/>
    <s v="24BAE010"/>
    <s v="BHARATH N "/>
    <n v="1"/>
    <x v="13"/>
    <x v="13"/>
    <n v="31"/>
    <n v="38"/>
    <n v="69"/>
    <n v="-7"/>
    <s v="Pass"/>
    <n v="1"/>
    <n v="7"/>
    <n v="1"/>
    <n v="1"/>
  </r>
  <r>
    <s v="Aeronautical Engineering"/>
    <s v="24BAE010"/>
    <s v="BHARATH N "/>
    <n v="1"/>
    <x v="27"/>
    <x v="27"/>
    <n v="60"/>
    <n v="40"/>
    <n v="100"/>
    <n v="20"/>
    <s v="Pass"/>
    <n v="1"/>
    <n v="10"/>
    <n v="3"/>
    <n v="1"/>
  </r>
  <r>
    <s v="Aeronautical Engineering"/>
    <s v="24BAE010"/>
    <s v="BHARATH N "/>
    <n v="1"/>
    <x v="17"/>
    <x v="17"/>
    <n v="46"/>
    <n v="48"/>
    <n v="94"/>
    <n v="-2"/>
    <s v="Pass"/>
    <n v="1"/>
    <n v="10"/>
    <n v="4"/>
    <n v="1"/>
  </r>
  <r>
    <s v="Aeronautical Engineering"/>
    <s v="24BAE010"/>
    <s v="BHARATH N "/>
    <n v="1"/>
    <x v="18"/>
    <x v="18"/>
    <n v="47"/>
    <n v="49"/>
    <n v="96"/>
    <n v="-2"/>
    <s v="Pass"/>
    <n v="1"/>
    <n v="10"/>
    <n v="3"/>
    <n v="1"/>
  </r>
  <r>
    <s v="Aeronautical Engineering"/>
    <s v="24BAE010"/>
    <s v="BHARATH N "/>
    <n v="1"/>
    <x v="19"/>
    <x v="19"/>
    <n v="44"/>
    <n v="37"/>
    <n v="81"/>
    <n v="7"/>
    <s v="Pass"/>
    <n v="1"/>
    <n v="9"/>
    <n v="4"/>
    <n v="1"/>
  </r>
  <r>
    <s v="Aeronautical Engineering"/>
    <s v="24BAE011"/>
    <s v="BHARATHKUMAR K "/>
    <n v="2"/>
    <x v="1"/>
    <x v="1"/>
    <n v="34"/>
    <n v="0"/>
    <n v="0"/>
    <n v="0"/>
    <s v="SA"/>
    <n v="0"/>
    <n v="0"/>
    <n v="4"/>
    <n v="0"/>
  </r>
  <r>
    <s v="Aeronautical Engineering"/>
    <s v="24BAE011"/>
    <s v="BHARATHKUMAR K "/>
    <n v="2"/>
    <x v="7"/>
    <x v="7"/>
    <n v="31"/>
    <n v="2"/>
    <n v="33"/>
    <n v="29"/>
    <s v="Fail"/>
    <n v="0"/>
    <n v="0"/>
    <n v="4"/>
    <n v="1"/>
  </r>
  <r>
    <s v="Aeronautical Engineering"/>
    <s v="24BAE011"/>
    <s v="BHARATHKUMAR K "/>
    <n v="2"/>
    <x v="8"/>
    <x v="8"/>
    <n v="11"/>
    <n v="0"/>
    <n v="0"/>
    <n v="0"/>
    <s v="SA"/>
    <n v="0"/>
    <n v="0"/>
    <n v="3"/>
    <n v="0"/>
  </r>
  <r>
    <s v="Aeronautical Engineering"/>
    <s v="24BAE011"/>
    <s v="BHARATHKUMAR K "/>
    <n v="2"/>
    <x v="0"/>
    <x v="0"/>
    <n v="40"/>
    <n v="24"/>
    <n v="64"/>
    <n v="16"/>
    <s v="Pass"/>
    <n v="1"/>
    <n v="7"/>
    <n v="4"/>
    <n v="1"/>
  </r>
  <r>
    <s v="Aeronautical Engineering"/>
    <s v="24BAE011"/>
    <s v="BHARATHKUMAR K "/>
    <n v="2"/>
    <x v="11"/>
    <x v="11"/>
    <n v="7"/>
    <n v="31"/>
    <n v="38"/>
    <n v="-24"/>
    <s v="Fail"/>
    <n v="0"/>
    <n v="0"/>
    <n v="3"/>
    <n v="1"/>
  </r>
  <r>
    <s v="Aeronautical Engineering"/>
    <s v="24BAE011"/>
    <s v="BHARATHKUMAR K "/>
    <n v="2"/>
    <x v="2"/>
    <x v="2"/>
    <n v="63"/>
    <n v="0"/>
    <n v="63"/>
    <n v="0"/>
    <s v="Pass"/>
    <n v="1"/>
    <n v="7"/>
    <n v="1"/>
    <n v="0"/>
  </r>
  <r>
    <s v="Aeronautical Engineering"/>
    <s v="24BAE011"/>
    <s v="BHARATHKUMAR K "/>
    <n v="2"/>
    <x v="3"/>
    <x v="3"/>
    <n v="30"/>
    <n v="30"/>
    <n v="60"/>
    <n v="0"/>
    <s v="Pass"/>
    <n v="1"/>
    <n v="6"/>
    <n v="1"/>
    <n v="1"/>
  </r>
  <r>
    <s v="Aeronautical Engineering"/>
    <s v="24BAE011"/>
    <s v="BHARATHKUMAR K "/>
    <n v="2"/>
    <x v="4"/>
    <x v="4"/>
    <n v="20"/>
    <n v="30"/>
    <n v="50"/>
    <n v="-10"/>
    <s v="Pass"/>
    <n v="1"/>
    <n v="5"/>
    <n v="2"/>
    <n v="1"/>
  </r>
  <r>
    <s v="Aeronautical Engineering"/>
    <s v="24BAE011"/>
    <s v="BHARATHKUMAR K "/>
    <n v="2"/>
    <x v="30"/>
    <x v="30"/>
    <n v="84"/>
    <n v="0"/>
    <n v="84"/>
    <n v="0"/>
    <s v="Pass"/>
    <n v="1"/>
    <n v="9"/>
    <n v="1"/>
    <n v="0"/>
  </r>
  <r>
    <s v="Aeronautical Engineering"/>
    <s v="24BAE011"/>
    <s v="BHARATHKUMAR K "/>
    <n v="2"/>
    <x v="6"/>
    <x v="6"/>
    <n v="96"/>
    <n v="0"/>
    <n v="96"/>
    <n v="0"/>
    <s v="Pass"/>
    <n v="1"/>
    <n v="10"/>
    <n v="1"/>
    <n v="0"/>
  </r>
  <r>
    <s v="Aeronautical Engineering"/>
    <s v="24BAE011"/>
    <s v="BHARATHKUMAR K "/>
    <n v="2"/>
    <x v="9"/>
    <x v="9"/>
    <n v="20"/>
    <n v="31"/>
    <n v="51"/>
    <n v="-11"/>
    <s v="Pass"/>
    <n v="1"/>
    <n v="5"/>
    <n v="3"/>
    <n v="1"/>
  </r>
  <r>
    <s v="Aeronautical Engineering"/>
    <s v="24BAE011"/>
    <s v="BHARATHKUMAR K "/>
    <n v="1"/>
    <x v="10"/>
    <x v="10"/>
    <n v="94"/>
    <n v="0"/>
    <n v="94"/>
    <n v="0"/>
    <s v="Pass"/>
    <n v="1"/>
    <n v="10"/>
    <n v="1"/>
    <n v="0"/>
  </r>
  <r>
    <s v="Aeronautical Engineering"/>
    <s v="24BAE011"/>
    <s v="BHARATHKUMAR K "/>
    <n v="1"/>
    <x v="11"/>
    <x v="11"/>
    <n v="7"/>
    <n v="16"/>
    <n v="23"/>
    <n v="-9"/>
    <s v="Fail"/>
    <n v="0"/>
    <n v="0"/>
    <n v="3"/>
    <n v="1"/>
  </r>
  <r>
    <s v="Aeronautical Engineering"/>
    <s v="24BAE011"/>
    <s v="BHARATHKUMAR K "/>
    <n v="1"/>
    <x v="12"/>
    <x v="12"/>
    <n v="66"/>
    <n v="0"/>
    <n v="66"/>
    <n v="0"/>
    <s v="Pass"/>
    <n v="1"/>
    <n v="7"/>
    <n v="1"/>
    <n v="0"/>
  </r>
  <r>
    <s v="Aeronautical Engineering"/>
    <s v="24BAE011"/>
    <s v="BHARATHKUMAR K "/>
    <n v="1"/>
    <x v="13"/>
    <x v="13"/>
    <n v="27"/>
    <n v="33"/>
    <n v="60"/>
    <n v="-6"/>
    <s v="Pass"/>
    <n v="1"/>
    <n v="6"/>
    <n v="1"/>
    <n v="1"/>
  </r>
  <r>
    <s v="Aeronautical Engineering"/>
    <s v="24BAE011"/>
    <s v="BHARATHKUMAR K "/>
    <n v="1"/>
    <x v="25"/>
    <x v="25"/>
    <n v="89"/>
    <n v="0"/>
    <n v="89"/>
    <n v="0"/>
    <s v="Pass"/>
    <n v="1"/>
    <n v="9"/>
    <n v="1"/>
    <n v="0"/>
  </r>
  <r>
    <s v="Aeronautical Engineering"/>
    <s v="24BAE011"/>
    <s v="BHARATHKUMAR K "/>
    <n v="1"/>
    <x v="15"/>
    <x v="15"/>
    <n v="90"/>
    <n v="0"/>
    <n v="90"/>
    <n v="0"/>
    <s v="Pass"/>
    <n v="1"/>
    <n v="9"/>
    <n v="1"/>
    <n v="0"/>
  </r>
  <r>
    <s v="Aeronautical Engineering"/>
    <s v="24BAE011"/>
    <s v="BHARATHKUMAR K "/>
    <n v="1"/>
    <x v="16"/>
    <x v="16"/>
    <n v="80"/>
    <n v="0"/>
    <n v="80"/>
    <n v="0"/>
    <s v="Pass"/>
    <n v="1"/>
    <n v="8"/>
    <n v="1"/>
    <n v="0"/>
  </r>
  <r>
    <s v="Aeronautical Engineering"/>
    <s v="24BAE011"/>
    <s v="BHARATHKUMAR K "/>
    <n v="1"/>
    <x v="17"/>
    <x v="17"/>
    <n v="33"/>
    <n v="25"/>
    <n v="58"/>
    <n v="8"/>
    <s v="Pass"/>
    <n v="1"/>
    <n v="6"/>
    <n v="4"/>
    <n v="1"/>
  </r>
  <r>
    <s v="Aeronautical Engineering"/>
    <s v="24BAE011"/>
    <s v="BHARATHKUMAR K "/>
    <n v="1"/>
    <x v="18"/>
    <x v="18"/>
    <n v="36"/>
    <n v="30"/>
    <n v="66"/>
    <n v="6"/>
    <s v="Pass"/>
    <n v="1"/>
    <n v="7"/>
    <n v="3"/>
    <n v="1"/>
  </r>
  <r>
    <s v="Aeronautical Engineering"/>
    <s v="24BAE011"/>
    <s v="BHARATHKUMAR K "/>
    <n v="1"/>
    <x v="19"/>
    <x v="19"/>
    <n v="33"/>
    <n v="27"/>
    <n v="60"/>
    <n v="6"/>
    <s v="Pass"/>
    <n v="1"/>
    <n v="7"/>
    <n v="4"/>
    <n v="1"/>
  </r>
  <r>
    <s v="Aeronautical Engineering"/>
    <s v="24BAE012"/>
    <s v="BOOMIKA  A "/>
    <n v="2"/>
    <x v="0"/>
    <x v="0"/>
    <n v="47"/>
    <n v="37"/>
    <n v="84"/>
    <n v="10"/>
    <s v="Pass"/>
    <n v="1"/>
    <n v="8"/>
    <n v="4"/>
    <n v="1"/>
  </r>
  <r>
    <s v="Aeronautical Engineering"/>
    <s v="24BAE012"/>
    <s v="BOOMIKA  A "/>
    <n v="2"/>
    <x v="1"/>
    <x v="1"/>
    <n v="43"/>
    <n v="36"/>
    <n v="79"/>
    <n v="7"/>
    <s v="Pass"/>
    <n v="1"/>
    <n v="8"/>
    <n v="4"/>
    <n v="1"/>
  </r>
  <r>
    <s v="Aeronautical Engineering"/>
    <s v="24BAE012"/>
    <s v="BOOMIKA  A "/>
    <n v="2"/>
    <x v="2"/>
    <x v="2"/>
    <n v="67"/>
    <n v="0"/>
    <n v="67"/>
    <n v="0"/>
    <s v="Pass"/>
    <n v="1"/>
    <n v="7"/>
    <n v="1"/>
    <n v="0"/>
  </r>
  <r>
    <s v="Aeronautical Engineering"/>
    <s v="24BAE012"/>
    <s v="BOOMIKA  A "/>
    <n v="2"/>
    <x v="3"/>
    <x v="3"/>
    <n v="37"/>
    <n v="36"/>
    <n v="73"/>
    <n v="1"/>
    <s v="Pass"/>
    <n v="1"/>
    <n v="7"/>
    <n v="1"/>
    <n v="1"/>
  </r>
  <r>
    <s v="Aeronautical Engineering"/>
    <s v="24BAE012"/>
    <s v="BOOMIKA  A "/>
    <n v="2"/>
    <x v="20"/>
    <x v="20"/>
    <n v="35"/>
    <n v="48"/>
    <n v="83"/>
    <n v="-13"/>
    <s v="Pass"/>
    <n v="1"/>
    <n v="9"/>
    <n v="2"/>
    <n v="1"/>
  </r>
  <r>
    <s v="Aeronautical Engineering"/>
    <s v="24BAE012"/>
    <s v="BOOMIKA  A "/>
    <n v="2"/>
    <x v="21"/>
    <x v="21"/>
    <n v="88"/>
    <n v="0"/>
    <n v="88"/>
    <n v="0"/>
    <s v="Pass"/>
    <n v="1"/>
    <n v="9"/>
    <n v="1"/>
    <n v="0"/>
  </r>
  <r>
    <s v="Aeronautical Engineering"/>
    <s v="24BAE012"/>
    <s v="BOOMIKA  A "/>
    <n v="2"/>
    <x v="6"/>
    <x v="6"/>
    <n v="96"/>
    <n v="0"/>
    <n v="96"/>
    <n v="0"/>
    <s v="Pass"/>
    <n v="1"/>
    <n v="10"/>
    <n v="1"/>
    <n v="0"/>
  </r>
  <r>
    <s v="Aeronautical Engineering"/>
    <s v="24BAE012"/>
    <s v="BOOMIKA  A "/>
    <n v="2"/>
    <x v="7"/>
    <x v="7"/>
    <n v="41"/>
    <n v="26"/>
    <n v="67"/>
    <n v="15"/>
    <s v="Pass"/>
    <n v="1"/>
    <n v="7"/>
    <n v="4"/>
    <n v="1"/>
  </r>
  <r>
    <s v="Aeronautical Engineering"/>
    <s v="24BAE012"/>
    <s v="BOOMIKA  A "/>
    <n v="2"/>
    <x v="8"/>
    <x v="8"/>
    <n v="33"/>
    <n v="49"/>
    <n v="82"/>
    <n v="-16"/>
    <s v="Pass"/>
    <n v="1"/>
    <n v="9"/>
    <n v="3"/>
    <n v="1"/>
  </r>
  <r>
    <s v="Aeronautical Engineering"/>
    <s v="24BAE012"/>
    <s v="BOOMIKA  A "/>
    <n v="2"/>
    <x v="9"/>
    <x v="9"/>
    <n v="36"/>
    <n v="38"/>
    <n v="74"/>
    <n v="-2"/>
    <s v="Pass"/>
    <n v="1"/>
    <n v="8"/>
    <n v="3"/>
    <n v="1"/>
  </r>
  <r>
    <s v="Aeronautical Engineering"/>
    <s v="24BAE012"/>
    <s v="BOOMIKA  A "/>
    <n v="1"/>
    <x v="10"/>
    <x v="10"/>
    <n v="94"/>
    <n v="0"/>
    <n v="94"/>
    <n v="0"/>
    <s v="Pass"/>
    <n v="1"/>
    <n v="10"/>
    <n v="1"/>
    <n v="0"/>
  </r>
  <r>
    <s v="Aeronautical Engineering"/>
    <s v="24BAE012"/>
    <s v="BOOMIKA  A "/>
    <n v="1"/>
    <x v="11"/>
    <x v="11"/>
    <n v="28"/>
    <n v="41"/>
    <n v="69"/>
    <n v="-13"/>
    <s v="Pass"/>
    <n v="1"/>
    <n v="9"/>
    <n v="3"/>
    <n v="1"/>
  </r>
  <r>
    <s v="Aeronautical Engineering"/>
    <s v="24BAE012"/>
    <s v="BOOMIKA  A "/>
    <n v="1"/>
    <x v="12"/>
    <x v="12"/>
    <n v="72"/>
    <n v="0"/>
    <n v="72"/>
    <n v="0"/>
    <s v="Pass"/>
    <n v="1"/>
    <n v="8"/>
    <n v="1"/>
    <n v="0"/>
  </r>
  <r>
    <s v="Aeronautical Engineering"/>
    <s v="24BAE012"/>
    <s v="BOOMIKA  A "/>
    <n v="1"/>
    <x v="13"/>
    <x v="13"/>
    <n v="34"/>
    <n v="55"/>
    <n v="89"/>
    <n v="-21"/>
    <s v="Pass"/>
    <n v="1"/>
    <n v="10"/>
    <n v="1"/>
    <n v="1"/>
  </r>
  <r>
    <s v="Aeronautical Engineering"/>
    <s v="24BAE012"/>
    <s v="BOOMIKA  A "/>
    <n v="1"/>
    <x v="31"/>
    <x v="31"/>
    <n v="78"/>
    <n v="0"/>
    <n v="78"/>
    <n v="0"/>
    <s v="Pass"/>
    <n v="1"/>
    <n v="8"/>
    <n v="1"/>
    <n v="0"/>
  </r>
  <r>
    <s v="Aeronautical Engineering"/>
    <s v="24BAE012"/>
    <s v="BOOMIKA  A "/>
    <n v="1"/>
    <x v="15"/>
    <x v="15"/>
    <n v="90"/>
    <n v="0"/>
    <n v="90"/>
    <n v="0"/>
    <s v="Pass"/>
    <n v="1"/>
    <n v="9"/>
    <n v="1"/>
    <n v="0"/>
  </r>
  <r>
    <s v="Aeronautical Engineering"/>
    <s v="24BAE012"/>
    <s v="BOOMIKA  A "/>
    <n v="1"/>
    <x v="16"/>
    <x v="16"/>
    <n v="88"/>
    <n v="0"/>
    <n v="88"/>
    <n v="0"/>
    <s v="Pass"/>
    <n v="1"/>
    <n v="9"/>
    <n v="1"/>
    <n v="0"/>
  </r>
  <r>
    <s v="Aeronautical Engineering"/>
    <s v="24BAE012"/>
    <s v="BOOMIKA  A "/>
    <n v="1"/>
    <x v="17"/>
    <x v="17"/>
    <n v="43"/>
    <n v="45"/>
    <n v="88"/>
    <n v="-2"/>
    <s v="Pass"/>
    <n v="1"/>
    <n v="9"/>
    <n v="4"/>
    <n v="1"/>
  </r>
  <r>
    <s v="Aeronautical Engineering"/>
    <s v="24BAE012"/>
    <s v="BOOMIKA  A "/>
    <n v="1"/>
    <x v="18"/>
    <x v="18"/>
    <n v="43"/>
    <n v="48"/>
    <n v="91"/>
    <n v="-5"/>
    <s v="Pass"/>
    <n v="1"/>
    <n v="9"/>
    <n v="3"/>
    <n v="1"/>
  </r>
  <r>
    <s v="Aeronautical Engineering"/>
    <s v="24BAE012"/>
    <s v="BOOMIKA  A "/>
    <n v="1"/>
    <x v="19"/>
    <x v="19"/>
    <n v="44"/>
    <n v="41"/>
    <n v="85"/>
    <n v="3"/>
    <s v="Pass"/>
    <n v="1"/>
    <n v="9"/>
    <n v="4"/>
    <n v="1"/>
  </r>
  <r>
    <s v="Aeronautical Engineering"/>
    <s v="24BAE013"/>
    <s v="BOWYASHREE M "/>
    <n v="2"/>
    <x v="0"/>
    <x v="0"/>
    <n v="46"/>
    <n v="38"/>
    <n v="84"/>
    <n v="8"/>
    <s v="Pass"/>
    <n v="1"/>
    <n v="8"/>
    <n v="4"/>
    <n v="1"/>
  </r>
  <r>
    <s v="Aeronautical Engineering"/>
    <s v="24BAE013"/>
    <s v="BOWYASHREE M "/>
    <n v="2"/>
    <x v="1"/>
    <x v="1"/>
    <n v="44"/>
    <n v="39"/>
    <n v="83"/>
    <n v="5"/>
    <s v="Pass"/>
    <n v="1"/>
    <n v="9"/>
    <n v="4"/>
    <n v="1"/>
  </r>
  <r>
    <s v="Aeronautical Engineering"/>
    <s v="24BAE013"/>
    <s v="BOWYASHREE M "/>
    <n v="2"/>
    <x v="2"/>
    <x v="2"/>
    <n v="84"/>
    <n v="0"/>
    <n v="84"/>
    <n v="0"/>
    <s v="Pass"/>
    <n v="1"/>
    <n v="9"/>
    <n v="1"/>
    <n v="0"/>
  </r>
  <r>
    <s v="Aeronautical Engineering"/>
    <s v="24BAE013"/>
    <s v="BOWYASHREE M "/>
    <n v="2"/>
    <x v="3"/>
    <x v="3"/>
    <n v="40"/>
    <n v="38"/>
    <n v="78"/>
    <n v="2"/>
    <s v="Pass"/>
    <n v="1"/>
    <n v="8"/>
    <n v="1"/>
    <n v="1"/>
  </r>
  <r>
    <s v="Aeronautical Engineering"/>
    <s v="24BAE013"/>
    <s v="BOWYASHREE M "/>
    <n v="2"/>
    <x v="4"/>
    <x v="4"/>
    <n v="32"/>
    <n v="37"/>
    <n v="69"/>
    <n v="-5"/>
    <s v="Pass"/>
    <n v="1"/>
    <n v="7"/>
    <n v="2"/>
    <n v="1"/>
  </r>
  <r>
    <s v="Aeronautical Engineering"/>
    <s v="24BAE013"/>
    <s v="BOWYASHREE M "/>
    <n v="2"/>
    <x v="32"/>
    <x v="32"/>
    <n v="92"/>
    <n v="0"/>
    <n v="92"/>
    <n v="0"/>
    <s v="Pass"/>
    <n v="1"/>
    <n v="10"/>
    <n v="1"/>
    <n v="0"/>
  </r>
  <r>
    <s v="Aeronautical Engineering"/>
    <s v="24BAE013"/>
    <s v="BOWYASHREE M "/>
    <n v="2"/>
    <x v="6"/>
    <x v="6"/>
    <n v="96"/>
    <n v="0"/>
    <n v="96"/>
    <n v="0"/>
    <s v="Pass"/>
    <n v="1"/>
    <n v="10"/>
    <n v="1"/>
    <n v="0"/>
  </r>
  <r>
    <s v="Aeronautical Engineering"/>
    <s v="24BAE013"/>
    <s v="BOWYASHREE M "/>
    <n v="2"/>
    <x v="7"/>
    <x v="7"/>
    <n v="48"/>
    <n v="30"/>
    <n v="78"/>
    <n v="18"/>
    <s v="Pass"/>
    <n v="1"/>
    <n v="8"/>
    <n v="4"/>
    <n v="1"/>
  </r>
  <r>
    <s v="Aeronautical Engineering"/>
    <s v="24BAE013"/>
    <s v="BOWYASHREE M "/>
    <n v="2"/>
    <x v="8"/>
    <x v="8"/>
    <n v="33"/>
    <n v="47"/>
    <n v="80"/>
    <n v="-14"/>
    <s v="Pass"/>
    <n v="1"/>
    <n v="8"/>
    <n v="3"/>
    <n v="1"/>
  </r>
  <r>
    <s v="Aeronautical Engineering"/>
    <s v="24BAE013"/>
    <s v="BOWYASHREE M "/>
    <n v="2"/>
    <x v="9"/>
    <x v="9"/>
    <n v="38"/>
    <n v="40"/>
    <n v="78"/>
    <n v="-2"/>
    <s v="Pass"/>
    <n v="1"/>
    <n v="8"/>
    <n v="3"/>
    <n v="1"/>
  </r>
  <r>
    <s v="Aeronautical Engineering"/>
    <s v="24BAE013"/>
    <s v="BOWYASHREE M "/>
    <n v="1"/>
    <x v="10"/>
    <x v="10"/>
    <n v="88"/>
    <n v="0"/>
    <n v="88"/>
    <n v="0"/>
    <s v="Pass"/>
    <n v="1"/>
    <n v="9"/>
    <n v="1"/>
    <n v="0"/>
  </r>
  <r>
    <s v="Aeronautical Engineering"/>
    <s v="24BAE013"/>
    <s v="BOWYASHREE M "/>
    <n v="1"/>
    <x v="11"/>
    <x v="11"/>
    <n v="28"/>
    <n v="45"/>
    <n v="73"/>
    <n v="-17"/>
    <s v="Pass"/>
    <n v="1"/>
    <n v="9"/>
    <n v="3"/>
    <n v="1"/>
  </r>
  <r>
    <s v="Aeronautical Engineering"/>
    <s v="24BAE013"/>
    <s v="BOWYASHREE M "/>
    <n v="1"/>
    <x v="12"/>
    <x v="12"/>
    <n v="75"/>
    <n v="0"/>
    <n v="75"/>
    <n v="0"/>
    <s v="Pass"/>
    <n v="1"/>
    <n v="8"/>
    <n v="1"/>
    <n v="0"/>
  </r>
  <r>
    <s v="Aeronautical Engineering"/>
    <s v="24BAE013"/>
    <s v="BOWYASHREE M "/>
    <n v="1"/>
    <x v="13"/>
    <x v="13"/>
    <n v="32"/>
    <n v="36"/>
    <n v="68"/>
    <n v="-4"/>
    <s v="Pass"/>
    <n v="1"/>
    <n v="7"/>
    <n v="1"/>
    <n v="1"/>
  </r>
  <r>
    <s v="Aeronautical Engineering"/>
    <s v="24BAE013"/>
    <s v="BOWYASHREE M "/>
    <n v="1"/>
    <x v="24"/>
    <x v="24"/>
    <n v="95"/>
    <n v="0"/>
    <n v="95"/>
    <n v="0"/>
    <s v="Pass"/>
    <n v="1"/>
    <n v="10"/>
    <n v="1"/>
    <n v="0"/>
  </r>
  <r>
    <s v="Aeronautical Engineering"/>
    <s v="24BAE013"/>
    <s v="BOWYASHREE M "/>
    <n v="1"/>
    <x v="15"/>
    <x v="15"/>
    <n v="100"/>
    <n v="0"/>
    <n v="100"/>
    <n v="0"/>
    <s v="Pass"/>
    <n v="1"/>
    <n v="10"/>
    <n v="1"/>
    <n v="0"/>
  </r>
  <r>
    <s v="Aeronautical Engineering"/>
    <s v="24BAE013"/>
    <s v="BOWYASHREE M "/>
    <n v="1"/>
    <x v="16"/>
    <x v="16"/>
    <n v="92"/>
    <n v="0"/>
    <n v="92"/>
    <n v="0"/>
    <s v="Pass"/>
    <n v="1"/>
    <n v="10"/>
    <n v="1"/>
    <n v="0"/>
  </r>
  <r>
    <s v="Aeronautical Engineering"/>
    <s v="24BAE013"/>
    <s v="BOWYASHREE M "/>
    <n v="1"/>
    <x v="17"/>
    <x v="17"/>
    <n v="45"/>
    <n v="48"/>
    <n v="93"/>
    <n v="-3"/>
    <s v="Pass"/>
    <n v="1"/>
    <n v="10"/>
    <n v="4"/>
    <n v="1"/>
  </r>
  <r>
    <s v="Aeronautical Engineering"/>
    <s v="24BAE013"/>
    <s v="BOWYASHREE M "/>
    <n v="1"/>
    <x v="18"/>
    <x v="18"/>
    <n v="43"/>
    <n v="46"/>
    <n v="89"/>
    <n v="-3"/>
    <s v="Pass"/>
    <n v="1"/>
    <n v="9"/>
    <n v="3"/>
    <n v="1"/>
  </r>
  <r>
    <s v="Aeronautical Engineering"/>
    <s v="24BAE013"/>
    <s v="BOWYASHREE M "/>
    <n v="1"/>
    <x v="19"/>
    <x v="19"/>
    <n v="45"/>
    <n v="43"/>
    <n v="88"/>
    <n v="2"/>
    <s v="Pass"/>
    <n v="1"/>
    <n v="10"/>
    <n v="4"/>
    <n v="1"/>
  </r>
  <r>
    <s v="Aeronautical Engineering"/>
    <s v="24BAE014"/>
    <s v="DARSINI M "/>
    <n v="2"/>
    <x v="0"/>
    <x v="0"/>
    <n v="42"/>
    <n v="32"/>
    <n v="74"/>
    <n v="10"/>
    <s v="Pass"/>
    <n v="1"/>
    <n v="8"/>
    <n v="4"/>
    <n v="1"/>
  </r>
  <r>
    <s v="Aeronautical Engineering"/>
    <s v="24BAE014"/>
    <s v="DARSINI M "/>
    <n v="2"/>
    <x v="1"/>
    <x v="1"/>
    <n v="42"/>
    <n v="36"/>
    <n v="78"/>
    <n v="6"/>
    <s v="Pass"/>
    <n v="1"/>
    <n v="8"/>
    <n v="4"/>
    <n v="1"/>
  </r>
  <r>
    <s v="Aeronautical Engineering"/>
    <s v="24BAE014"/>
    <s v="DARSINI M "/>
    <n v="2"/>
    <x v="33"/>
    <x v="33"/>
    <n v="53"/>
    <n v="34"/>
    <n v="87"/>
    <n v="19"/>
    <s v="Pass"/>
    <n v="1"/>
    <n v="9"/>
    <n v="2"/>
    <n v="1"/>
  </r>
  <r>
    <s v="Aeronautical Engineering"/>
    <s v="24BAE014"/>
    <s v="DARSINI M "/>
    <n v="2"/>
    <x v="2"/>
    <x v="2"/>
    <n v="84"/>
    <n v="0"/>
    <n v="84"/>
    <n v="0"/>
    <s v="Pass"/>
    <n v="1"/>
    <n v="9"/>
    <n v="1"/>
    <n v="0"/>
  </r>
  <r>
    <s v="Aeronautical Engineering"/>
    <s v="24BAE014"/>
    <s v="DARSINI M "/>
    <n v="2"/>
    <x v="3"/>
    <x v="3"/>
    <n v="34"/>
    <n v="34"/>
    <n v="68"/>
    <n v="0"/>
    <s v="Pass"/>
    <n v="1"/>
    <n v="7"/>
    <n v="1"/>
    <n v="1"/>
  </r>
  <r>
    <s v="Aeronautical Engineering"/>
    <s v="24BAE014"/>
    <s v="DARSINI M "/>
    <n v="2"/>
    <x v="34"/>
    <x v="34"/>
    <n v="88"/>
    <n v="0"/>
    <n v="88"/>
    <n v="0"/>
    <s v="Pass"/>
    <n v="1"/>
    <n v="9"/>
    <n v="1"/>
    <n v="0"/>
  </r>
  <r>
    <s v="Aeronautical Engineering"/>
    <s v="24BAE014"/>
    <s v="DARSINI M "/>
    <n v="2"/>
    <x v="6"/>
    <x v="6"/>
    <n v="96"/>
    <n v="0"/>
    <n v="96"/>
    <n v="0"/>
    <s v="Pass"/>
    <n v="1"/>
    <n v="10"/>
    <n v="1"/>
    <n v="0"/>
  </r>
  <r>
    <s v="Aeronautical Engineering"/>
    <s v="24BAE014"/>
    <s v="DARSINI M "/>
    <n v="2"/>
    <x v="7"/>
    <x v="7"/>
    <n v="45"/>
    <n v="26"/>
    <n v="71"/>
    <n v="19"/>
    <s v="Pass"/>
    <n v="1"/>
    <n v="8"/>
    <n v="4"/>
    <n v="1"/>
  </r>
  <r>
    <s v="Aeronautical Engineering"/>
    <s v="24BAE014"/>
    <s v="DARSINI M "/>
    <n v="2"/>
    <x v="8"/>
    <x v="8"/>
    <n v="31"/>
    <n v="43"/>
    <n v="74"/>
    <n v="-12"/>
    <s v="Pass"/>
    <n v="1"/>
    <n v="8"/>
    <n v="3"/>
    <n v="1"/>
  </r>
  <r>
    <s v="Aeronautical Engineering"/>
    <s v="24BAE014"/>
    <s v="DARSINI M "/>
    <n v="2"/>
    <x v="9"/>
    <x v="9"/>
    <n v="28"/>
    <n v="46"/>
    <n v="74"/>
    <n v="-18"/>
    <s v="Pass"/>
    <n v="1"/>
    <n v="8"/>
    <n v="3"/>
    <n v="1"/>
  </r>
  <r>
    <s v="Aeronautical Engineering"/>
    <s v="24BAE014"/>
    <s v="DARSINI M "/>
    <n v="1"/>
    <x v="10"/>
    <x v="10"/>
    <n v="97"/>
    <n v="0"/>
    <n v="97"/>
    <n v="0"/>
    <s v="Pass"/>
    <n v="1"/>
    <n v="10"/>
    <n v="1"/>
    <n v="0"/>
  </r>
  <r>
    <s v="Aeronautical Engineering"/>
    <s v="24BAE014"/>
    <s v="DARSINI M "/>
    <n v="1"/>
    <x v="11"/>
    <x v="11"/>
    <n v="33"/>
    <n v="43"/>
    <n v="76"/>
    <n v="-10"/>
    <s v="Pass"/>
    <n v="1"/>
    <n v="10"/>
    <n v="3"/>
    <n v="1"/>
  </r>
  <r>
    <s v="Aeronautical Engineering"/>
    <s v="24BAE014"/>
    <s v="DARSINI M "/>
    <n v="1"/>
    <x v="12"/>
    <x v="12"/>
    <n v="68"/>
    <n v="0"/>
    <n v="68"/>
    <n v="0"/>
    <s v="Pass"/>
    <n v="1"/>
    <n v="7"/>
    <n v="1"/>
    <n v="0"/>
  </r>
  <r>
    <s v="Aeronautical Engineering"/>
    <s v="24BAE014"/>
    <s v="DARSINI M "/>
    <n v="1"/>
    <x v="13"/>
    <x v="13"/>
    <n v="29"/>
    <n v="39"/>
    <n v="68"/>
    <n v="-10"/>
    <s v="Pass"/>
    <n v="1"/>
    <n v="7"/>
    <n v="1"/>
    <n v="1"/>
  </r>
  <r>
    <s v="Aeronautical Engineering"/>
    <s v="24BAE014"/>
    <s v="DARSINI M "/>
    <n v="1"/>
    <x v="35"/>
    <x v="35"/>
    <n v="74"/>
    <n v="0"/>
    <n v="74"/>
    <n v="0"/>
    <s v="Pass"/>
    <n v="1"/>
    <n v="8"/>
    <n v="1"/>
    <n v="0"/>
  </r>
  <r>
    <s v="Aeronautical Engineering"/>
    <s v="24BAE014"/>
    <s v="DARSINI M "/>
    <n v="1"/>
    <x v="15"/>
    <x v="15"/>
    <n v="80"/>
    <n v="0"/>
    <n v="80"/>
    <n v="0"/>
    <s v="Pass"/>
    <n v="1"/>
    <n v="8"/>
    <n v="1"/>
    <n v="0"/>
  </r>
  <r>
    <s v="Aeronautical Engineering"/>
    <s v="24BAE014"/>
    <s v="DARSINI M "/>
    <n v="1"/>
    <x v="16"/>
    <x v="16"/>
    <n v="90"/>
    <n v="0"/>
    <n v="90"/>
    <n v="0"/>
    <s v="Pass"/>
    <n v="1"/>
    <n v="9"/>
    <n v="1"/>
    <n v="0"/>
  </r>
  <r>
    <s v="Aeronautical Engineering"/>
    <s v="24BAE014"/>
    <s v="DARSINI M "/>
    <n v="1"/>
    <x v="17"/>
    <x v="17"/>
    <n v="43"/>
    <n v="44"/>
    <n v="87"/>
    <n v="-1"/>
    <s v="Pass"/>
    <n v="1"/>
    <n v="8"/>
    <n v="4"/>
    <n v="1"/>
  </r>
  <r>
    <s v="Aeronautical Engineering"/>
    <s v="24BAE014"/>
    <s v="DARSINI M "/>
    <n v="1"/>
    <x v="18"/>
    <x v="18"/>
    <n v="37"/>
    <n v="35"/>
    <n v="72"/>
    <n v="2"/>
    <s v="Pass"/>
    <n v="1"/>
    <n v="7"/>
    <n v="3"/>
    <n v="1"/>
  </r>
  <r>
    <s v="Aeronautical Engineering"/>
    <s v="24BAE014"/>
    <s v="DARSINI M "/>
    <n v="1"/>
    <x v="19"/>
    <x v="19"/>
    <n v="38"/>
    <n v="40"/>
    <n v="78"/>
    <n v="-2"/>
    <s v="Pass"/>
    <n v="1"/>
    <n v="8"/>
    <n v="4"/>
    <n v="1"/>
  </r>
  <r>
    <s v="Aeronautical Engineering"/>
    <s v="24BAE015"/>
    <s v="DEEKSHA T "/>
    <n v="2"/>
    <x v="9"/>
    <x v="9"/>
    <n v="26"/>
    <n v="19"/>
    <n v="45"/>
    <n v="7"/>
    <s v="Fail"/>
    <n v="0"/>
    <n v="0"/>
    <n v="3"/>
    <n v="1"/>
  </r>
  <r>
    <s v="Aeronautical Engineering"/>
    <s v="24BAE015"/>
    <s v="DEEKSHA T "/>
    <n v="2"/>
    <x v="0"/>
    <x v="0"/>
    <n v="41"/>
    <n v="25"/>
    <n v="66"/>
    <n v="16"/>
    <s v="Pass"/>
    <n v="1"/>
    <n v="7"/>
    <n v="4"/>
    <n v="1"/>
  </r>
  <r>
    <s v="Aeronautical Engineering"/>
    <s v="24BAE015"/>
    <s v="DEEKSHA T "/>
    <n v="2"/>
    <x v="1"/>
    <x v="1"/>
    <n v="40"/>
    <n v="28"/>
    <n v="68"/>
    <n v="12"/>
    <s v="Pass"/>
    <n v="1"/>
    <n v="7"/>
    <n v="4"/>
    <n v="1"/>
  </r>
  <r>
    <s v="Aeronautical Engineering"/>
    <s v="24BAE015"/>
    <s v="DEEKSHA T "/>
    <n v="2"/>
    <x v="2"/>
    <x v="2"/>
    <n v="84"/>
    <n v="0"/>
    <n v="84"/>
    <n v="0"/>
    <s v="Pass"/>
    <n v="1"/>
    <n v="9"/>
    <n v="1"/>
    <n v="0"/>
  </r>
  <r>
    <s v="Aeronautical Engineering"/>
    <s v="24BAE015"/>
    <s v="DEEKSHA T "/>
    <n v="2"/>
    <x v="3"/>
    <x v="3"/>
    <n v="40"/>
    <n v="31"/>
    <n v="71"/>
    <n v="9"/>
    <s v="Pass"/>
    <n v="1"/>
    <n v="7"/>
    <n v="1"/>
    <n v="1"/>
  </r>
  <r>
    <s v="Aeronautical Engineering"/>
    <s v="24BAE015"/>
    <s v="DEEKSHA T "/>
    <n v="2"/>
    <x v="20"/>
    <x v="20"/>
    <n v="29"/>
    <n v="36"/>
    <n v="65"/>
    <n v="-7"/>
    <s v="Pass"/>
    <n v="1"/>
    <n v="7"/>
    <n v="2"/>
    <n v="1"/>
  </r>
  <r>
    <s v="Aeronautical Engineering"/>
    <s v="24BAE015"/>
    <s v="DEEKSHA T "/>
    <n v="2"/>
    <x v="32"/>
    <x v="32"/>
    <n v="86"/>
    <n v="0"/>
    <n v="86"/>
    <n v="0"/>
    <s v="Pass"/>
    <n v="1"/>
    <n v="9"/>
    <n v="1"/>
    <n v="0"/>
  </r>
  <r>
    <s v="Aeronautical Engineering"/>
    <s v="24BAE015"/>
    <s v="DEEKSHA T "/>
    <n v="2"/>
    <x v="6"/>
    <x v="6"/>
    <n v="96"/>
    <n v="0"/>
    <n v="96"/>
    <n v="0"/>
    <s v="Pass"/>
    <n v="1"/>
    <n v="10"/>
    <n v="1"/>
    <n v="0"/>
  </r>
  <r>
    <s v="Aeronautical Engineering"/>
    <s v="24BAE015"/>
    <s v="DEEKSHA T "/>
    <n v="2"/>
    <x v="7"/>
    <x v="7"/>
    <n v="42"/>
    <n v="25"/>
    <n v="67"/>
    <n v="17"/>
    <s v="Pass"/>
    <n v="1"/>
    <n v="7"/>
    <n v="4"/>
    <n v="1"/>
  </r>
  <r>
    <s v="Aeronautical Engineering"/>
    <s v="24BAE015"/>
    <s v="DEEKSHA T "/>
    <n v="2"/>
    <x v="8"/>
    <x v="8"/>
    <n v="21"/>
    <n v="35"/>
    <n v="56"/>
    <n v="-14"/>
    <s v="Pass"/>
    <n v="1"/>
    <n v="6"/>
    <n v="3"/>
    <n v="1"/>
  </r>
  <r>
    <s v="Aeronautical Engineering"/>
    <s v="24BAE015"/>
    <s v="DEEKSHA T "/>
    <n v="1"/>
    <x v="10"/>
    <x v="10"/>
    <n v="95"/>
    <n v="0"/>
    <n v="95"/>
    <n v="0"/>
    <s v="Pass"/>
    <n v="1"/>
    <n v="10"/>
    <n v="1"/>
    <n v="0"/>
  </r>
  <r>
    <s v="Aeronautical Engineering"/>
    <s v="24BAE015"/>
    <s v="DEEKSHA T "/>
    <n v="1"/>
    <x v="11"/>
    <x v="11"/>
    <n v="23"/>
    <n v="35"/>
    <n v="58"/>
    <n v="-12"/>
    <s v="Pass"/>
    <n v="1"/>
    <n v="8"/>
    <n v="3"/>
    <n v="1"/>
  </r>
  <r>
    <s v="Aeronautical Engineering"/>
    <s v="24BAE015"/>
    <s v="DEEKSHA T "/>
    <n v="1"/>
    <x v="12"/>
    <x v="12"/>
    <n v="66"/>
    <n v="0"/>
    <n v="66"/>
    <n v="0"/>
    <s v="Pass"/>
    <n v="1"/>
    <n v="7"/>
    <n v="1"/>
    <n v="0"/>
  </r>
  <r>
    <s v="Aeronautical Engineering"/>
    <s v="24BAE015"/>
    <s v="DEEKSHA T "/>
    <n v="1"/>
    <x v="13"/>
    <x v="13"/>
    <n v="30"/>
    <n v="34"/>
    <n v="64"/>
    <n v="-4"/>
    <s v="Pass"/>
    <n v="1"/>
    <n v="7"/>
    <n v="1"/>
    <n v="1"/>
  </r>
  <r>
    <s v="Aeronautical Engineering"/>
    <s v="24BAE015"/>
    <s v="DEEKSHA T "/>
    <n v="1"/>
    <x v="24"/>
    <x v="24"/>
    <n v="82"/>
    <n v="0"/>
    <n v="82"/>
    <n v="0"/>
    <s v="Pass"/>
    <n v="1"/>
    <n v="9"/>
    <n v="1"/>
    <n v="0"/>
  </r>
  <r>
    <s v="Aeronautical Engineering"/>
    <s v="24BAE015"/>
    <s v="DEEKSHA T "/>
    <n v="1"/>
    <x v="15"/>
    <x v="15"/>
    <n v="90"/>
    <n v="0"/>
    <n v="90"/>
    <n v="0"/>
    <s v="Pass"/>
    <n v="1"/>
    <n v="9"/>
    <n v="1"/>
    <n v="0"/>
  </r>
  <r>
    <s v="Aeronautical Engineering"/>
    <s v="24BAE015"/>
    <s v="DEEKSHA T "/>
    <n v="1"/>
    <x v="16"/>
    <x v="16"/>
    <n v="90"/>
    <n v="0"/>
    <n v="90"/>
    <n v="0"/>
    <s v="Pass"/>
    <n v="1"/>
    <n v="9"/>
    <n v="1"/>
    <n v="0"/>
  </r>
  <r>
    <s v="Aeronautical Engineering"/>
    <s v="24BAE015"/>
    <s v="DEEKSHA T "/>
    <n v="1"/>
    <x v="17"/>
    <x v="17"/>
    <n v="42"/>
    <n v="39"/>
    <n v="81"/>
    <n v="3"/>
    <s v="Pass"/>
    <n v="1"/>
    <n v="8"/>
    <n v="4"/>
    <n v="1"/>
  </r>
  <r>
    <s v="Aeronautical Engineering"/>
    <s v="24BAE015"/>
    <s v="DEEKSHA T "/>
    <n v="1"/>
    <x v="18"/>
    <x v="18"/>
    <n v="39"/>
    <n v="37"/>
    <n v="76"/>
    <n v="2"/>
    <s v="Pass"/>
    <n v="1"/>
    <n v="8"/>
    <n v="3"/>
    <n v="1"/>
  </r>
  <r>
    <s v="Aeronautical Engineering"/>
    <s v="24BAE015"/>
    <s v="DEEKSHA T "/>
    <n v="1"/>
    <x v="19"/>
    <x v="19"/>
    <n v="38"/>
    <n v="25"/>
    <n v="63"/>
    <n v="13"/>
    <s v="Pass"/>
    <n v="1"/>
    <n v="7"/>
    <n v="4"/>
    <n v="1"/>
  </r>
  <r>
    <s v="Aeronautical Engineering"/>
    <s v="24BAE016"/>
    <s v="DEEKSHITHA S "/>
    <n v="2"/>
    <x v="0"/>
    <x v="0"/>
    <n v="44"/>
    <n v="29"/>
    <n v="73"/>
    <n v="15"/>
    <s v="Pass"/>
    <n v="1"/>
    <n v="8"/>
    <n v="4"/>
    <n v="1"/>
  </r>
  <r>
    <s v="Aeronautical Engineering"/>
    <s v="24BAE016"/>
    <s v="DEEKSHITHA S "/>
    <n v="2"/>
    <x v="1"/>
    <x v="1"/>
    <n v="43"/>
    <n v="34"/>
    <n v="77"/>
    <n v="9"/>
    <s v="Pass"/>
    <n v="1"/>
    <n v="8"/>
    <n v="4"/>
    <n v="1"/>
  </r>
  <r>
    <s v="Aeronautical Engineering"/>
    <s v="24BAE016"/>
    <s v="DEEKSHITHA S "/>
    <n v="2"/>
    <x v="2"/>
    <x v="2"/>
    <n v="87"/>
    <n v="0"/>
    <n v="87"/>
    <n v="0"/>
    <s v="Pass"/>
    <n v="1"/>
    <n v="9"/>
    <n v="1"/>
    <n v="0"/>
  </r>
  <r>
    <s v="Aeronautical Engineering"/>
    <s v="24BAE016"/>
    <s v="DEEKSHITHA S "/>
    <n v="2"/>
    <x v="3"/>
    <x v="3"/>
    <n v="39"/>
    <n v="35"/>
    <n v="74"/>
    <n v="4"/>
    <s v="Pass"/>
    <n v="1"/>
    <n v="7"/>
    <n v="1"/>
    <n v="1"/>
  </r>
  <r>
    <s v="Aeronautical Engineering"/>
    <s v="24BAE016"/>
    <s v="DEEKSHITHA S "/>
    <n v="2"/>
    <x v="20"/>
    <x v="20"/>
    <n v="33"/>
    <n v="44"/>
    <n v="77"/>
    <n v="-11"/>
    <s v="Pass"/>
    <n v="1"/>
    <n v="8"/>
    <n v="2"/>
    <n v="1"/>
  </r>
  <r>
    <s v="Aeronautical Engineering"/>
    <s v="24BAE016"/>
    <s v="DEEKSHITHA S "/>
    <n v="2"/>
    <x v="36"/>
    <x v="36"/>
    <n v="93"/>
    <n v="0"/>
    <n v="93"/>
    <n v="0"/>
    <s v="Pass"/>
    <n v="1"/>
    <n v="10"/>
    <n v="1"/>
    <n v="0"/>
  </r>
  <r>
    <s v="Aeronautical Engineering"/>
    <s v="24BAE016"/>
    <s v="DEEKSHITHA S "/>
    <n v="2"/>
    <x v="6"/>
    <x v="6"/>
    <n v="96"/>
    <n v="0"/>
    <n v="96"/>
    <n v="0"/>
    <s v="Pass"/>
    <n v="1"/>
    <n v="10"/>
    <n v="1"/>
    <n v="0"/>
  </r>
  <r>
    <s v="Aeronautical Engineering"/>
    <s v="24BAE016"/>
    <s v="DEEKSHITHA S "/>
    <n v="2"/>
    <x v="7"/>
    <x v="7"/>
    <n v="43"/>
    <n v="36"/>
    <n v="79"/>
    <n v="7"/>
    <s v="Pass"/>
    <n v="1"/>
    <n v="8"/>
    <n v="4"/>
    <n v="1"/>
  </r>
  <r>
    <s v="Aeronautical Engineering"/>
    <s v="24BAE016"/>
    <s v="DEEKSHITHA S "/>
    <n v="2"/>
    <x v="8"/>
    <x v="8"/>
    <n v="32"/>
    <n v="46"/>
    <n v="78"/>
    <n v="-14"/>
    <s v="Pass"/>
    <n v="1"/>
    <n v="8"/>
    <n v="3"/>
    <n v="1"/>
  </r>
  <r>
    <s v="Aeronautical Engineering"/>
    <s v="24BAE016"/>
    <s v="DEEKSHITHA S "/>
    <n v="2"/>
    <x v="9"/>
    <x v="9"/>
    <n v="34"/>
    <n v="44"/>
    <n v="78"/>
    <n v="-10"/>
    <s v="Pass"/>
    <n v="1"/>
    <n v="8"/>
    <n v="3"/>
    <n v="1"/>
  </r>
  <r>
    <s v="Aeronautical Engineering"/>
    <s v="24BAE016"/>
    <s v="DEEKSHITHA S "/>
    <n v="1"/>
    <x v="10"/>
    <x v="10"/>
    <n v="89"/>
    <n v="0"/>
    <n v="89"/>
    <n v="0"/>
    <s v="Pass"/>
    <n v="1"/>
    <n v="9"/>
    <n v="1"/>
    <n v="0"/>
  </r>
  <r>
    <s v="Aeronautical Engineering"/>
    <s v="24BAE016"/>
    <s v="DEEKSHITHA S "/>
    <n v="1"/>
    <x v="11"/>
    <x v="11"/>
    <n v="30"/>
    <n v="30"/>
    <n v="60"/>
    <n v="0"/>
    <s v="Pass"/>
    <n v="1"/>
    <n v="8"/>
    <n v="3"/>
    <n v="1"/>
  </r>
  <r>
    <s v="Aeronautical Engineering"/>
    <s v="24BAE016"/>
    <s v="DEEKSHITHA S "/>
    <n v="1"/>
    <x v="12"/>
    <x v="12"/>
    <n v="62"/>
    <n v="0"/>
    <n v="62"/>
    <n v="0"/>
    <s v="Pass"/>
    <n v="1"/>
    <n v="7"/>
    <n v="1"/>
    <n v="0"/>
  </r>
  <r>
    <s v="Aeronautical Engineering"/>
    <s v="24BAE016"/>
    <s v="DEEKSHITHA S "/>
    <n v="1"/>
    <x v="13"/>
    <x v="13"/>
    <n v="28"/>
    <n v="39"/>
    <n v="67"/>
    <n v="-11"/>
    <s v="Pass"/>
    <n v="1"/>
    <n v="7"/>
    <n v="1"/>
    <n v="1"/>
  </r>
  <r>
    <s v="Aeronautical Engineering"/>
    <s v="24BAE016"/>
    <s v="DEEKSHITHA S "/>
    <n v="1"/>
    <x v="37"/>
    <x v="37"/>
    <n v="95"/>
    <n v="0"/>
    <n v="95"/>
    <n v="0"/>
    <s v="Pass"/>
    <n v="1"/>
    <n v="10"/>
    <n v="1"/>
    <n v="0"/>
  </r>
  <r>
    <s v="Aeronautical Engineering"/>
    <s v="24BAE016"/>
    <s v="DEEKSHITHA S "/>
    <n v="1"/>
    <x v="15"/>
    <x v="15"/>
    <n v="95"/>
    <n v="0"/>
    <n v="95"/>
    <n v="0"/>
    <s v="Pass"/>
    <n v="1"/>
    <n v="10"/>
    <n v="1"/>
    <n v="0"/>
  </r>
  <r>
    <s v="Aeronautical Engineering"/>
    <s v="24BAE016"/>
    <s v="DEEKSHITHA S "/>
    <n v="1"/>
    <x v="16"/>
    <x v="16"/>
    <n v="91"/>
    <n v="0"/>
    <n v="91"/>
    <n v="0"/>
    <s v="Pass"/>
    <n v="1"/>
    <n v="10"/>
    <n v="1"/>
    <n v="0"/>
  </r>
  <r>
    <s v="Aeronautical Engineering"/>
    <s v="24BAE016"/>
    <s v="DEEKSHITHA S "/>
    <n v="1"/>
    <x v="17"/>
    <x v="17"/>
    <n v="43"/>
    <n v="47"/>
    <n v="90"/>
    <n v="-4"/>
    <s v="Pass"/>
    <n v="1"/>
    <n v="9"/>
    <n v="4"/>
    <n v="1"/>
  </r>
  <r>
    <s v="Aeronautical Engineering"/>
    <s v="24BAE016"/>
    <s v="DEEKSHITHA S "/>
    <n v="1"/>
    <x v="18"/>
    <x v="18"/>
    <n v="41"/>
    <n v="43"/>
    <n v="84"/>
    <n v="-2"/>
    <s v="Pass"/>
    <n v="1"/>
    <n v="8"/>
    <n v="3"/>
    <n v="1"/>
  </r>
  <r>
    <s v="Aeronautical Engineering"/>
    <s v="24BAE016"/>
    <s v="DEEKSHITHA S "/>
    <n v="1"/>
    <x v="19"/>
    <x v="19"/>
    <n v="42"/>
    <n v="42"/>
    <n v="84"/>
    <n v="0"/>
    <s v="Pass"/>
    <n v="1"/>
    <n v="9"/>
    <n v="4"/>
    <n v="1"/>
  </r>
  <r>
    <s v="Aeronautical Engineering"/>
    <s v="24BAE017"/>
    <s v="DEEPAN V G "/>
    <n v="2"/>
    <x v="0"/>
    <x v="0"/>
    <n v="46"/>
    <n v="31"/>
    <n v="77"/>
    <n v="15"/>
    <s v="Pass"/>
    <n v="1"/>
    <n v="8"/>
    <n v="4"/>
    <n v="1"/>
  </r>
  <r>
    <s v="Aeronautical Engineering"/>
    <s v="24BAE017"/>
    <s v="DEEPAN V G "/>
    <n v="2"/>
    <x v="1"/>
    <x v="1"/>
    <n v="43"/>
    <n v="30"/>
    <n v="73"/>
    <n v="13"/>
    <s v="Pass"/>
    <n v="1"/>
    <n v="7"/>
    <n v="4"/>
    <n v="1"/>
  </r>
  <r>
    <s v="Aeronautical Engineering"/>
    <s v="24BAE017"/>
    <s v="DEEPAN V G "/>
    <n v="2"/>
    <x v="3"/>
    <x v="3"/>
    <n v="37"/>
    <n v="31"/>
    <n v="68"/>
    <n v="6"/>
    <s v="Pass"/>
    <n v="1"/>
    <n v="7"/>
    <n v="1"/>
    <n v="1"/>
  </r>
  <r>
    <s v="Aeronautical Engineering"/>
    <s v="24BAE017"/>
    <s v="DEEPAN V G "/>
    <n v="2"/>
    <x v="20"/>
    <x v="20"/>
    <n v="32"/>
    <n v="44"/>
    <n v="76"/>
    <n v="-12"/>
    <s v="Pass"/>
    <n v="1"/>
    <n v="8"/>
    <n v="2"/>
    <n v="1"/>
  </r>
  <r>
    <s v="Aeronautical Engineering"/>
    <s v="24BAE017"/>
    <s v="DEEPAN V G "/>
    <n v="2"/>
    <x v="26"/>
    <x v="26"/>
    <n v="51"/>
    <n v="34"/>
    <n v="85"/>
    <n v="17"/>
    <s v="Pass"/>
    <n v="1"/>
    <n v="9"/>
    <n v="3"/>
    <n v="1"/>
  </r>
  <r>
    <s v="Aeronautical Engineering"/>
    <s v="24BAE017"/>
    <s v="DEEPAN V G "/>
    <n v="2"/>
    <x v="7"/>
    <x v="7"/>
    <n v="46"/>
    <n v="41"/>
    <n v="87"/>
    <n v="5"/>
    <s v="Pass"/>
    <n v="1"/>
    <n v="9"/>
    <n v="4"/>
    <n v="1"/>
  </r>
  <r>
    <s v="Aeronautical Engineering"/>
    <s v="24BAE017"/>
    <s v="DEEPAN V G "/>
    <n v="2"/>
    <x v="8"/>
    <x v="8"/>
    <n v="33"/>
    <n v="46"/>
    <n v="79"/>
    <n v="-13"/>
    <s v="Pass"/>
    <n v="1"/>
    <n v="8"/>
    <n v="3"/>
    <n v="1"/>
  </r>
  <r>
    <s v="Aeronautical Engineering"/>
    <s v="24BAE017"/>
    <s v="DEEPAN V G "/>
    <n v="2"/>
    <x v="9"/>
    <x v="9"/>
    <n v="35"/>
    <n v="37"/>
    <n v="72"/>
    <n v="-2"/>
    <s v="Pass"/>
    <n v="1"/>
    <n v="8"/>
    <n v="3"/>
    <n v="1"/>
  </r>
  <r>
    <s v="Aeronautical Engineering"/>
    <s v="24BAE017"/>
    <s v="DEEPAN V G "/>
    <n v="1"/>
    <x v="10"/>
    <x v="10"/>
    <n v="92"/>
    <n v="0"/>
    <n v="92"/>
    <n v="0"/>
    <s v="Pass"/>
    <n v="1"/>
    <n v="10"/>
    <n v="1"/>
    <n v="0"/>
  </r>
  <r>
    <s v="Aeronautical Engineering"/>
    <s v="24BAE017"/>
    <s v="DEEPAN V G "/>
    <n v="1"/>
    <x v="11"/>
    <x v="11"/>
    <n v="32"/>
    <n v="30"/>
    <n v="62"/>
    <n v="2"/>
    <s v="Pass"/>
    <n v="1"/>
    <n v="8"/>
    <n v="3"/>
    <n v="1"/>
  </r>
  <r>
    <s v="Aeronautical Engineering"/>
    <s v="24BAE017"/>
    <s v="DEEPAN V G "/>
    <n v="1"/>
    <x v="12"/>
    <x v="12"/>
    <n v="87"/>
    <n v="0"/>
    <n v="87"/>
    <n v="0"/>
    <s v="Pass"/>
    <n v="1"/>
    <n v="9"/>
    <n v="1"/>
    <n v="0"/>
  </r>
  <r>
    <s v="Aeronautical Engineering"/>
    <s v="24BAE017"/>
    <s v="DEEPAN V G "/>
    <n v="1"/>
    <x v="13"/>
    <x v="13"/>
    <n v="32"/>
    <n v="35"/>
    <n v="67"/>
    <n v="-3"/>
    <s v="Pass"/>
    <n v="1"/>
    <n v="7"/>
    <n v="1"/>
    <n v="1"/>
  </r>
  <r>
    <s v="Aeronautical Engineering"/>
    <s v="24BAE017"/>
    <s v="DEEPAN V G "/>
    <n v="1"/>
    <x v="27"/>
    <x v="27"/>
    <n v="59"/>
    <n v="39"/>
    <n v="98"/>
    <n v="20"/>
    <s v="Pass"/>
    <n v="1"/>
    <n v="10"/>
    <n v="3"/>
    <n v="1"/>
  </r>
  <r>
    <s v="Aeronautical Engineering"/>
    <s v="24BAE017"/>
    <s v="DEEPAN V G "/>
    <n v="1"/>
    <x v="17"/>
    <x v="17"/>
    <n v="44"/>
    <n v="43"/>
    <n v="87"/>
    <n v="1"/>
    <s v="Pass"/>
    <n v="1"/>
    <n v="8"/>
    <n v="4"/>
    <n v="1"/>
  </r>
  <r>
    <s v="Aeronautical Engineering"/>
    <s v="24BAE017"/>
    <s v="DEEPAN V G "/>
    <n v="1"/>
    <x v="18"/>
    <x v="18"/>
    <n v="42"/>
    <n v="45"/>
    <n v="87"/>
    <n v="-3"/>
    <s v="Pass"/>
    <n v="1"/>
    <n v="8"/>
    <n v="3"/>
    <n v="1"/>
  </r>
  <r>
    <s v="Aeronautical Engineering"/>
    <s v="24BAE017"/>
    <s v="DEEPAN V G "/>
    <n v="1"/>
    <x v="19"/>
    <x v="19"/>
    <n v="45"/>
    <n v="37"/>
    <n v="82"/>
    <n v="8"/>
    <s v="Pass"/>
    <n v="1"/>
    <n v="9"/>
    <n v="4"/>
    <n v="1"/>
  </r>
  <r>
    <s v="Aeronautical Engineering"/>
    <s v="24BAE018"/>
    <s v="DEVYANI TAMRAKAR "/>
    <n v="2"/>
    <x v="0"/>
    <x v="0"/>
    <n v="46"/>
    <n v="32"/>
    <n v="78"/>
    <n v="14"/>
    <s v="Pass"/>
    <n v="1"/>
    <n v="8"/>
    <n v="4"/>
    <n v="1"/>
  </r>
  <r>
    <s v="Aeronautical Engineering"/>
    <s v="24BAE018"/>
    <s v="DEVYANI TAMRAKAR "/>
    <n v="2"/>
    <x v="1"/>
    <x v="1"/>
    <n v="40"/>
    <n v="30"/>
    <n v="70"/>
    <n v="10"/>
    <s v="Pass"/>
    <n v="1"/>
    <n v="7"/>
    <n v="4"/>
    <n v="1"/>
  </r>
  <r>
    <s v="Aeronautical Engineering"/>
    <s v="24BAE018"/>
    <s v="DEVYANI TAMRAKAR "/>
    <n v="2"/>
    <x v="2"/>
    <x v="2"/>
    <n v="88"/>
    <n v="0"/>
    <n v="88"/>
    <n v="0"/>
    <s v="Pass"/>
    <n v="1"/>
    <n v="9"/>
    <n v="1"/>
    <n v="0"/>
  </r>
  <r>
    <s v="Aeronautical Engineering"/>
    <s v="24BAE018"/>
    <s v="DEVYANI TAMRAKAR "/>
    <n v="2"/>
    <x v="3"/>
    <x v="3"/>
    <n v="34"/>
    <n v="32"/>
    <n v="66"/>
    <n v="2"/>
    <s v="Pass"/>
    <n v="1"/>
    <n v="7"/>
    <n v="1"/>
    <n v="1"/>
  </r>
  <r>
    <s v="Aeronautical Engineering"/>
    <s v="24BAE018"/>
    <s v="DEVYANI TAMRAKAR "/>
    <n v="2"/>
    <x v="4"/>
    <x v="4"/>
    <n v="31"/>
    <n v="34"/>
    <n v="65"/>
    <n v="-3"/>
    <s v="Pass"/>
    <n v="1"/>
    <n v="7"/>
    <n v="2"/>
    <n v="1"/>
  </r>
  <r>
    <s v="Aeronautical Engineering"/>
    <s v="24BAE018"/>
    <s v="DEVYANI TAMRAKAR "/>
    <n v="2"/>
    <x v="32"/>
    <x v="32"/>
    <n v="86"/>
    <n v="0"/>
    <n v="86"/>
    <n v="0"/>
    <s v="Pass"/>
    <n v="1"/>
    <n v="9"/>
    <n v="1"/>
    <n v="0"/>
  </r>
  <r>
    <s v="Aeronautical Engineering"/>
    <s v="24BAE018"/>
    <s v="DEVYANI TAMRAKAR "/>
    <n v="2"/>
    <x v="6"/>
    <x v="6"/>
    <n v="96"/>
    <n v="0"/>
    <n v="96"/>
    <n v="0"/>
    <s v="Pass"/>
    <n v="1"/>
    <n v="10"/>
    <n v="1"/>
    <n v="0"/>
  </r>
  <r>
    <s v="Aeronautical Engineering"/>
    <s v="24BAE018"/>
    <s v="DEVYANI TAMRAKAR "/>
    <n v="2"/>
    <x v="7"/>
    <x v="7"/>
    <n v="39"/>
    <n v="27"/>
    <n v="66"/>
    <n v="12"/>
    <s v="Pass"/>
    <n v="1"/>
    <n v="7"/>
    <n v="4"/>
    <n v="1"/>
  </r>
  <r>
    <s v="Aeronautical Engineering"/>
    <s v="24BAE018"/>
    <s v="DEVYANI TAMRAKAR "/>
    <n v="2"/>
    <x v="8"/>
    <x v="8"/>
    <n v="26"/>
    <n v="47"/>
    <n v="73"/>
    <n v="-21"/>
    <s v="Pass"/>
    <n v="1"/>
    <n v="8"/>
    <n v="3"/>
    <n v="1"/>
  </r>
  <r>
    <s v="Aeronautical Engineering"/>
    <s v="24BAE018"/>
    <s v="DEVYANI TAMRAKAR "/>
    <n v="2"/>
    <x v="9"/>
    <x v="9"/>
    <n v="31"/>
    <n v="55"/>
    <n v="86"/>
    <n v="-24"/>
    <s v="Pass"/>
    <n v="1"/>
    <n v="9"/>
    <n v="3"/>
    <n v="1"/>
  </r>
  <r>
    <s v="Aeronautical Engineering"/>
    <s v="24BAE018"/>
    <s v="DEVYANI TAMRAKAR "/>
    <n v="1"/>
    <x v="10"/>
    <x v="10"/>
    <n v="92"/>
    <n v="0"/>
    <n v="92"/>
    <n v="0"/>
    <s v="Pass"/>
    <n v="1"/>
    <n v="10"/>
    <n v="1"/>
    <n v="0"/>
  </r>
  <r>
    <s v="Aeronautical Engineering"/>
    <s v="24BAE018"/>
    <s v="DEVYANI TAMRAKAR "/>
    <n v="1"/>
    <x v="11"/>
    <x v="11"/>
    <n v="23"/>
    <n v="46"/>
    <n v="69"/>
    <n v="-23"/>
    <s v="Pass"/>
    <n v="1"/>
    <n v="9"/>
    <n v="3"/>
    <n v="1"/>
  </r>
  <r>
    <s v="Aeronautical Engineering"/>
    <s v="24BAE018"/>
    <s v="DEVYANI TAMRAKAR "/>
    <n v="1"/>
    <x v="12"/>
    <x v="12"/>
    <n v="60"/>
    <n v="0"/>
    <n v="60"/>
    <n v="0"/>
    <s v="Pass"/>
    <n v="1"/>
    <n v="6"/>
    <n v="1"/>
    <n v="0"/>
  </r>
  <r>
    <s v="Aeronautical Engineering"/>
    <s v="24BAE018"/>
    <s v="DEVYANI TAMRAKAR "/>
    <n v="1"/>
    <x v="13"/>
    <x v="13"/>
    <n v="27"/>
    <n v="38"/>
    <n v="65"/>
    <n v="-11"/>
    <s v="Pass"/>
    <n v="1"/>
    <n v="7"/>
    <n v="1"/>
    <n v="1"/>
  </r>
  <r>
    <s v="Aeronautical Engineering"/>
    <s v="24BAE018"/>
    <s v="DEVYANI TAMRAKAR "/>
    <n v="1"/>
    <x v="24"/>
    <x v="24"/>
    <n v="74"/>
    <n v="0"/>
    <n v="74"/>
    <n v="0"/>
    <s v="Pass"/>
    <n v="1"/>
    <n v="8"/>
    <n v="1"/>
    <n v="0"/>
  </r>
  <r>
    <s v="Aeronautical Engineering"/>
    <s v="24BAE018"/>
    <s v="DEVYANI TAMRAKAR "/>
    <n v="1"/>
    <x v="15"/>
    <x v="15"/>
    <n v="95"/>
    <n v="0"/>
    <n v="95"/>
    <n v="0"/>
    <s v="Pass"/>
    <n v="1"/>
    <n v="10"/>
    <n v="1"/>
    <n v="0"/>
  </r>
  <r>
    <s v="Aeronautical Engineering"/>
    <s v="24BAE018"/>
    <s v="DEVYANI TAMRAKAR "/>
    <n v="1"/>
    <x v="16"/>
    <x v="16"/>
    <n v="84"/>
    <n v="0"/>
    <n v="84"/>
    <n v="0"/>
    <s v="Pass"/>
    <n v="1"/>
    <n v="9"/>
    <n v="1"/>
    <n v="0"/>
  </r>
  <r>
    <s v="Aeronautical Engineering"/>
    <s v="24BAE018"/>
    <s v="DEVYANI TAMRAKAR "/>
    <n v="1"/>
    <x v="17"/>
    <x v="17"/>
    <n v="40"/>
    <n v="40"/>
    <n v="80"/>
    <n v="0"/>
    <s v="Pass"/>
    <n v="1"/>
    <n v="8"/>
    <n v="4"/>
    <n v="1"/>
  </r>
  <r>
    <s v="Aeronautical Engineering"/>
    <s v="24BAE018"/>
    <s v="DEVYANI TAMRAKAR "/>
    <n v="1"/>
    <x v="18"/>
    <x v="18"/>
    <n v="41"/>
    <n v="47"/>
    <n v="88"/>
    <n v="-6"/>
    <s v="Pass"/>
    <n v="1"/>
    <n v="9"/>
    <n v="3"/>
    <n v="1"/>
  </r>
  <r>
    <s v="Aeronautical Engineering"/>
    <s v="24BAE018"/>
    <s v="DEVYANI TAMRAKAR "/>
    <n v="1"/>
    <x v="19"/>
    <x v="19"/>
    <n v="36"/>
    <n v="35"/>
    <n v="71"/>
    <n v="1"/>
    <s v="Pass"/>
    <n v="1"/>
    <n v="8"/>
    <n v="4"/>
    <n v="1"/>
  </r>
  <r>
    <s v="Aeronautical Engineering"/>
    <s v="24BAE019"/>
    <s v="DHARSHAN R K "/>
    <n v="2"/>
    <x v="1"/>
    <x v="1"/>
    <n v="36"/>
    <n v="18"/>
    <n v="54"/>
    <n v="18"/>
    <s v="Fail"/>
    <n v="0"/>
    <n v="0"/>
    <n v="4"/>
    <n v="1"/>
  </r>
  <r>
    <s v="Aeronautical Engineering"/>
    <s v="24BAE019"/>
    <s v="DHARSHAN R K "/>
    <n v="2"/>
    <x v="7"/>
    <x v="7"/>
    <n v="32"/>
    <n v="11"/>
    <n v="43"/>
    <n v="21"/>
    <s v="Fail"/>
    <n v="0"/>
    <n v="0"/>
    <n v="4"/>
    <n v="1"/>
  </r>
  <r>
    <s v="Aeronautical Engineering"/>
    <s v="24BAE019"/>
    <s v="DHARSHAN R K "/>
    <n v="2"/>
    <x v="0"/>
    <x v="0"/>
    <n v="39"/>
    <n v="24"/>
    <n v="63"/>
    <n v="15"/>
    <s v="Pass"/>
    <n v="1"/>
    <n v="7"/>
    <n v="4"/>
    <n v="1"/>
  </r>
  <r>
    <s v="Aeronautical Engineering"/>
    <s v="24BAE019"/>
    <s v="DHARSHAN R K "/>
    <n v="2"/>
    <x v="2"/>
    <x v="2"/>
    <n v="73"/>
    <n v="0"/>
    <n v="73"/>
    <n v="0"/>
    <s v="Pass"/>
    <n v="1"/>
    <n v="8"/>
    <n v="1"/>
    <n v="0"/>
  </r>
  <r>
    <s v="Aeronautical Engineering"/>
    <s v="24BAE019"/>
    <s v="DHARSHAN R K "/>
    <n v="2"/>
    <x v="3"/>
    <x v="3"/>
    <n v="33"/>
    <n v="31"/>
    <n v="64"/>
    <n v="2"/>
    <s v="Pass"/>
    <n v="1"/>
    <n v="7"/>
    <n v="1"/>
    <n v="1"/>
  </r>
  <r>
    <s v="Aeronautical Engineering"/>
    <s v="24BAE019"/>
    <s v="DHARSHAN R K "/>
    <n v="2"/>
    <x v="4"/>
    <x v="4"/>
    <n v="22"/>
    <n v="28"/>
    <n v="50"/>
    <n v="-6"/>
    <s v="Pass"/>
    <n v="1"/>
    <n v="5"/>
    <n v="2"/>
    <n v="1"/>
  </r>
  <r>
    <s v="Aeronautical Engineering"/>
    <s v="24BAE019"/>
    <s v="DHARSHAN R K "/>
    <n v="2"/>
    <x v="38"/>
    <x v="38"/>
    <n v="86"/>
    <n v="0"/>
    <n v="86"/>
    <n v="0"/>
    <s v="Pass"/>
    <n v="1"/>
    <n v="9"/>
    <n v="1"/>
    <n v="0"/>
  </r>
  <r>
    <s v="Aeronautical Engineering"/>
    <s v="24BAE019"/>
    <s v="DHARSHAN R K "/>
    <n v="2"/>
    <x v="6"/>
    <x v="6"/>
    <n v="96"/>
    <n v="0"/>
    <n v="96"/>
    <n v="0"/>
    <s v="Pass"/>
    <n v="1"/>
    <n v="10"/>
    <n v="1"/>
    <n v="0"/>
  </r>
  <r>
    <s v="Aeronautical Engineering"/>
    <s v="24BAE019"/>
    <s v="DHARSHAN R K "/>
    <n v="2"/>
    <x v="8"/>
    <x v="8"/>
    <n v="21"/>
    <n v="32"/>
    <n v="53"/>
    <n v="-11"/>
    <s v="Pass"/>
    <n v="1"/>
    <n v="5"/>
    <n v="3"/>
    <n v="1"/>
  </r>
  <r>
    <s v="Aeronautical Engineering"/>
    <s v="24BAE019"/>
    <s v="DHARSHAN R K "/>
    <n v="2"/>
    <x v="9"/>
    <x v="9"/>
    <n v="23"/>
    <n v="34"/>
    <n v="57"/>
    <n v="-11"/>
    <s v="Pass"/>
    <n v="1"/>
    <n v="6"/>
    <n v="3"/>
    <n v="1"/>
  </r>
  <r>
    <s v="Aeronautical Engineering"/>
    <s v="24BAE019"/>
    <s v="DHARSHAN R K "/>
    <n v="1"/>
    <x v="10"/>
    <x v="10"/>
    <n v="94"/>
    <n v="0"/>
    <n v="94"/>
    <n v="0"/>
    <s v="Pass"/>
    <n v="1"/>
    <n v="10"/>
    <n v="1"/>
    <n v="0"/>
  </r>
  <r>
    <s v="Aeronautical Engineering"/>
    <s v="24BAE019"/>
    <s v="DHARSHAN R K "/>
    <n v="1"/>
    <x v="11"/>
    <x v="11"/>
    <n v="19"/>
    <n v="33"/>
    <n v="52"/>
    <n v="-14"/>
    <s v="Pass"/>
    <n v="1"/>
    <n v="6"/>
    <n v="3"/>
    <n v="1"/>
  </r>
  <r>
    <s v="Aeronautical Engineering"/>
    <s v="24BAE019"/>
    <s v="DHARSHAN R K "/>
    <n v="1"/>
    <x v="12"/>
    <x v="12"/>
    <n v="74"/>
    <n v="0"/>
    <n v="74"/>
    <n v="0"/>
    <s v="Pass"/>
    <n v="1"/>
    <n v="8"/>
    <n v="1"/>
    <n v="0"/>
  </r>
  <r>
    <s v="Aeronautical Engineering"/>
    <s v="24BAE019"/>
    <s v="DHARSHAN R K "/>
    <n v="1"/>
    <x v="13"/>
    <x v="13"/>
    <n v="22"/>
    <n v="37"/>
    <n v="59"/>
    <n v="-15"/>
    <s v="Pass"/>
    <n v="1"/>
    <n v="6"/>
    <n v="1"/>
    <n v="1"/>
  </r>
  <r>
    <s v="Aeronautical Engineering"/>
    <s v="24BAE019"/>
    <s v="DHARSHAN R K "/>
    <n v="1"/>
    <x v="34"/>
    <x v="34"/>
    <n v="75"/>
    <n v="0"/>
    <n v="75"/>
    <n v="0"/>
    <s v="Pass"/>
    <n v="1"/>
    <n v="8"/>
    <n v="1"/>
    <n v="0"/>
  </r>
  <r>
    <s v="Aeronautical Engineering"/>
    <s v="24BAE019"/>
    <s v="DHARSHAN R K "/>
    <n v="1"/>
    <x v="15"/>
    <x v="15"/>
    <n v="95"/>
    <n v="0"/>
    <n v="95"/>
    <n v="0"/>
    <s v="Pass"/>
    <n v="1"/>
    <n v="10"/>
    <n v="1"/>
    <n v="0"/>
  </r>
  <r>
    <s v="Aeronautical Engineering"/>
    <s v="24BAE019"/>
    <s v="DHARSHAN R K "/>
    <n v="1"/>
    <x v="16"/>
    <x v="16"/>
    <n v="80"/>
    <n v="0"/>
    <n v="80"/>
    <n v="0"/>
    <s v="Pass"/>
    <n v="1"/>
    <n v="8"/>
    <n v="1"/>
    <n v="0"/>
  </r>
  <r>
    <s v="Aeronautical Engineering"/>
    <s v="24BAE019"/>
    <s v="DHARSHAN R K "/>
    <n v="1"/>
    <x v="17"/>
    <x v="17"/>
    <n v="33"/>
    <n v="26"/>
    <n v="59"/>
    <n v="7"/>
    <s v="Pass"/>
    <n v="1"/>
    <n v="6"/>
    <n v="4"/>
    <n v="1"/>
  </r>
  <r>
    <s v="Aeronautical Engineering"/>
    <s v="24BAE019"/>
    <s v="DHARSHAN R K "/>
    <n v="1"/>
    <x v="18"/>
    <x v="18"/>
    <n v="37"/>
    <n v="36"/>
    <n v="73"/>
    <n v="1"/>
    <s v="Pass"/>
    <n v="1"/>
    <n v="8"/>
    <n v="3"/>
    <n v="1"/>
  </r>
  <r>
    <s v="Aeronautical Engineering"/>
    <s v="24BAE019"/>
    <s v="DHARSHAN R K "/>
    <n v="1"/>
    <x v="19"/>
    <x v="19"/>
    <n v="30"/>
    <n v="25"/>
    <n v="55"/>
    <n v="5"/>
    <s v="Pass"/>
    <n v="1"/>
    <n v="6"/>
    <n v="4"/>
    <n v="1"/>
  </r>
  <r>
    <s v="Aeronautical Engineering"/>
    <s v="24BAE020"/>
    <s v="HARI PRASATH G "/>
    <n v="2"/>
    <x v="7"/>
    <x v="7"/>
    <n v="38"/>
    <n v="9"/>
    <n v="47"/>
    <n v="29"/>
    <s v="Fail"/>
    <n v="0"/>
    <n v="0"/>
    <n v="4"/>
    <n v="1"/>
  </r>
  <r>
    <s v="Aeronautical Engineering"/>
    <s v="24BAE020"/>
    <s v="HARI PRASATH G "/>
    <n v="2"/>
    <x v="8"/>
    <x v="8"/>
    <n v="14"/>
    <n v="31"/>
    <n v="45"/>
    <n v="-17"/>
    <s v="Fail"/>
    <n v="0"/>
    <n v="0"/>
    <n v="3"/>
    <n v="1"/>
  </r>
  <r>
    <s v="Aeronautical Engineering"/>
    <s v="24BAE020"/>
    <s v="HARI PRASATH G "/>
    <n v="2"/>
    <x v="0"/>
    <x v="0"/>
    <n v="39"/>
    <n v="31"/>
    <n v="70"/>
    <n v="8"/>
    <s v="Pass"/>
    <n v="1"/>
    <n v="7"/>
    <n v="4"/>
    <n v="1"/>
  </r>
  <r>
    <s v="Aeronautical Engineering"/>
    <s v="24BAE020"/>
    <s v="HARI PRASATH G "/>
    <n v="2"/>
    <x v="1"/>
    <x v="1"/>
    <n v="40"/>
    <n v="28"/>
    <n v="68"/>
    <n v="12"/>
    <s v="Pass"/>
    <n v="1"/>
    <n v="7"/>
    <n v="4"/>
    <n v="1"/>
  </r>
  <r>
    <s v="Aeronautical Engineering"/>
    <s v="24BAE020"/>
    <s v="HARI PRASATH G "/>
    <n v="2"/>
    <x v="3"/>
    <x v="3"/>
    <n v="35"/>
    <n v="26"/>
    <n v="61"/>
    <n v="9"/>
    <s v="Pass"/>
    <n v="1"/>
    <n v="6"/>
    <n v="1"/>
    <n v="1"/>
  </r>
  <r>
    <s v="Aeronautical Engineering"/>
    <s v="24BAE020"/>
    <s v="HARI PRASATH G "/>
    <n v="2"/>
    <x v="20"/>
    <x v="20"/>
    <n v="26"/>
    <n v="40"/>
    <n v="66"/>
    <n v="-14"/>
    <s v="Pass"/>
    <n v="1"/>
    <n v="7"/>
    <n v="2"/>
    <n v="1"/>
  </r>
  <r>
    <s v="Aeronautical Engineering"/>
    <s v="24BAE020"/>
    <s v="HARI PRASATH G "/>
    <n v="2"/>
    <x v="26"/>
    <x v="26"/>
    <n v="51"/>
    <n v="36"/>
    <n v="87"/>
    <n v="15"/>
    <s v="Pass"/>
    <n v="1"/>
    <n v="9"/>
    <n v="3"/>
    <n v="1"/>
  </r>
  <r>
    <s v="Aeronautical Engineering"/>
    <s v="24BAE020"/>
    <s v="HARI PRASATH G "/>
    <n v="2"/>
    <x v="9"/>
    <x v="9"/>
    <n v="24"/>
    <n v="40"/>
    <n v="64"/>
    <n v="-16"/>
    <s v="Pass"/>
    <n v="1"/>
    <n v="7"/>
    <n v="3"/>
    <n v="1"/>
  </r>
  <r>
    <s v="Aeronautical Engineering"/>
    <s v="24BAE020"/>
    <s v="HARI PRASATH G "/>
    <n v="1"/>
    <x v="10"/>
    <x v="10"/>
    <n v="85"/>
    <n v="0"/>
    <n v="85"/>
    <n v="0"/>
    <s v="Pass"/>
    <n v="1"/>
    <n v="9"/>
    <n v="1"/>
    <n v="0"/>
  </r>
  <r>
    <s v="Aeronautical Engineering"/>
    <s v="24BAE020"/>
    <s v="HARI PRASATH G "/>
    <n v="1"/>
    <x v="11"/>
    <x v="11"/>
    <n v="22"/>
    <n v="32"/>
    <n v="54"/>
    <n v="-10"/>
    <s v="Pass"/>
    <n v="1"/>
    <n v="7"/>
    <n v="3"/>
    <n v="1"/>
  </r>
  <r>
    <s v="Aeronautical Engineering"/>
    <s v="24BAE020"/>
    <s v="HARI PRASATH G "/>
    <n v="1"/>
    <x v="12"/>
    <x v="12"/>
    <n v="90"/>
    <n v="0"/>
    <n v="90"/>
    <n v="0"/>
    <s v="Pass"/>
    <n v="1"/>
    <n v="9"/>
    <n v="1"/>
    <n v="0"/>
  </r>
  <r>
    <s v="Aeronautical Engineering"/>
    <s v="24BAE020"/>
    <s v="HARI PRASATH G "/>
    <n v="1"/>
    <x v="13"/>
    <x v="13"/>
    <n v="27"/>
    <n v="33"/>
    <n v="60"/>
    <n v="-6"/>
    <s v="Pass"/>
    <n v="1"/>
    <n v="6"/>
    <n v="1"/>
    <n v="1"/>
  </r>
  <r>
    <s v="Aeronautical Engineering"/>
    <s v="24BAE020"/>
    <s v="HARI PRASATH G "/>
    <n v="1"/>
    <x v="27"/>
    <x v="27"/>
    <n v="59"/>
    <n v="38"/>
    <n v="97"/>
    <n v="21"/>
    <s v="Pass"/>
    <n v="1"/>
    <n v="10"/>
    <n v="3"/>
    <n v="1"/>
  </r>
  <r>
    <s v="Aeronautical Engineering"/>
    <s v="24BAE020"/>
    <s v="HARI PRASATH G "/>
    <n v="1"/>
    <x v="17"/>
    <x v="17"/>
    <n v="41"/>
    <n v="28"/>
    <n v="69"/>
    <n v="13"/>
    <s v="Pass"/>
    <n v="1"/>
    <n v="7"/>
    <n v="4"/>
    <n v="1"/>
  </r>
  <r>
    <s v="Aeronautical Engineering"/>
    <s v="24BAE020"/>
    <s v="HARI PRASATH G "/>
    <n v="1"/>
    <x v="18"/>
    <x v="18"/>
    <n v="35"/>
    <n v="30"/>
    <n v="65"/>
    <n v="5"/>
    <s v="Pass"/>
    <n v="1"/>
    <n v="7"/>
    <n v="3"/>
    <n v="1"/>
  </r>
  <r>
    <s v="Aeronautical Engineering"/>
    <s v="24BAE020"/>
    <s v="HARI PRASATH G "/>
    <n v="1"/>
    <x v="19"/>
    <x v="19"/>
    <n v="33"/>
    <n v="27"/>
    <n v="60"/>
    <n v="6"/>
    <s v="Pass"/>
    <n v="1"/>
    <n v="7"/>
    <n v="4"/>
    <n v="1"/>
  </r>
  <r>
    <s v="Aeronautical Engineering"/>
    <s v="24BAE021"/>
    <s v="HEMALATHA K "/>
    <n v="2"/>
    <x v="0"/>
    <x v="0"/>
    <n v="45"/>
    <n v="33"/>
    <n v="78"/>
    <n v="12"/>
    <s v="Pass"/>
    <n v="1"/>
    <n v="8"/>
    <n v="4"/>
    <n v="1"/>
  </r>
  <r>
    <s v="Aeronautical Engineering"/>
    <s v="24BAE021"/>
    <s v="HEMALATHA K "/>
    <n v="2"/>
    <x v="1"/>
    <x v="1"/>
    <n v="40"/>
    <n v="30"/>
    <n v="70"/>
    <n v="10"/>
    <s v="Pass"/>
    <n v="1"/>
    <n v="7"/>
    <n v="4"/>
    <n v="1"/>
  </r>
  <r>
    <s v="Aeronautical Engineering"/>
    <s v="24BAE021"/>
    <s v="HEMALATHA K "/>
    <n v="2"/>
    <x v="2"/>
    <x v="2"/>
    <n v="79"/>
    <n v="0"/>
    <n v="79"/>
    <n v="0"/>
    <s v="Pass"/>
    <n v="1"/>
    <n v="8"/>
    <n v="1"/>
    <n v="0"/>
  </r>
  <r>
    <s v="Aeronautical Engineering"/>
    <s v="24BAE021"/>
    <s v="HEMALATHA K "/>
    <n v="2"/>
    <x v="3"/>
    <x v="3"/>
    <n v="36"/>
    <n v="32"/>
    <n v="68"/>
    <n v="4"/>
    <s v="Pass"/>
    <n v="1"/>
    <n v="7"/>
    <n v="1"/>
    <n v="1"/>
  </r>
  <r>
    <s v="Aeronautical Engineering"/>
    <s v="24BAE021"/>
    <s v="HEMALATHA K "/>
    <n v="2"/>
    <x v="20"/>
    <x v="20"/>
    <n v="36"/>
    <n v="44"/>
    <n v="80"/>
    <n v="-8"/>
    <s v="Pass"/>
    <n v="1"/>
    <n v="8"/>
    <n v="2"/>
    <n v="1"/>
  </r>
  <r>
    <s v="Aeronautical Engineering"/>
    <s v="24BAE021"/>
    <s v="HEMALATHA K "/>
    <n v="2"/>
    <x v="32"/>
    <x v="32"/>
    <n v="92"/>
    <n v="0"/>
    <n v="92"/>
    <n v="0"/>
    <s v="Pass"/>
    <n v="1"/>
    <n v="10"/>
    <n v="1"/>
    <n v="0"/>
  </r>
  <r>
    <s v="Aeronautical Engineering"/>
    <s v="24BAE021"/>
    <s v="HEMALATHA K "/>
    <n v="2"/>
    <x v="6"/>
    <x v="6"/>
    <n v="96"/>
    <n v="0"/>
    <n v="96"/>
    <n v="0"/>
    <s v="Pass"/>
    <n v="1"/>
    <n v="10"/>
    <n v="1"/>
    <n v="0"/>
  </r>
  <r>
    <s v="Aeronautical Engineering"/>
    <s v="24BAE021"/>
    <s v="HEMALATHA K "/>
    <n v="2"/>
    <x v="7"/>
    <x v="7"/>
    <n v="43"/>
    <n v="44"/>
    <n v="87"/>
    <n v="-1"/>
    <s v="Pass"/>
    <n v="1"/>
    <n v="9"/>
    <n v="4"/>
    <n v="1"/>
  </r>
  <r>
    <s v="Aeronautical Engineering"/>
    <s v="24BAE021"/>
    <s v="HEMALATHA K "/>
    <n v="2"/>
    <x v="8"/>
    <x v="8"/>
    <n v="32"/>
    <n v="37"/>
    <n v="69"/>
    <n v="-5"/>
    <s v="Pass"/>
    <n v="1"/>
    <n v="7"/>
    <n v="3"/>
    <n v="1"/>
  </r>
  <r>
    <s v="Aeronautical Engineering"/>
    <s v="24BAE021"/>
    <s v="HEMALATHA K "/>
    <n v="2"/>
    <x v="9"/>
    <x v="9"/>
    <n v="35"/>
    <n v="44"/>
    <n v="79"/>
    <n v="-9"/>
    <s v="Pass"/>
    <n v="1"/>
    <n v="8"/>
    <n v="3"/>
    <n v="1"/>
  </r>
  <r>
    <s v="Aeronautical Engineering"/>
    <s v="24BAE021"/>
    <s v="HEMALATHA K "/>
    <n v="1"/>
    <x v="10"/>
    <x v="10"/>
    <n v="90"/>
    <n v="0"/>
    <n v="90"/>
    <n v="0"/>
    <s v="Pass"/>
    <n v="1"/>
    <n v="9"/>
    <n v="1"/>
    <n v="0"/>
  </r>
  <r>
    <s v="Aeronautical Engineering"/>
    <s v="24BAE021"/>
    <s v="HEMALATHA K "/>
    <n v="1"/>
    <x v="11"/>
    <x v="11"/>
    <n v="30"/>
    <n v="37"/>
    <n v="67"/>
    <n v="-7"/>
    <s v="Pass"/>
    <n v="1"/>
    <n v="8"/>
    <n v="3"/>
    <n v="1"/>
  </r>
  <r>
    <s v="Aeronautical Engineering"/>
    <s v="24BAE021"/>
    <s v="HEMALATHA K "/>
    <n v="1"/>
    <x v="12"/>
    <x v="12"/>
    <n v="69"/>
    <n v="0"/>
    <n v="69"/>
    <n v="0"/>
    <s v="Pass"/>
    <n v="1"/>
    <n v="7"/>
    <n v="1"/>
    <n v="0"/>
  </r>
  <r>
    <s v="Aeronautical Engineering"/>
    <s v="24BAE021"/>
    <s v="HEMALATHA K "/>
    <n v="1"/>
    <x v="13"/>
    <x v="13"/>
    <n v="31"/>
    <n v="38"/>
    <n v="69"/>
    <n v="-7"/>
    <s v="Pass"/>
    <n v="1"/>
    <n v="7"/>
    <n v="1"/>
    <n v="1"/>
  </r>
  <r>
    <s v="Aeronautical Engineering"/>
    <s v="24BAE021"/>
    <s v="HEMALATHA K "/>
    <n v="1"/>
    <x v="24"/>
    <x v="24"/>
    <n v="96"/>
    <n v="0"/>
    <n v="96"/>
    <n v="0"/>
    <s v="Pass"/>
    <n v="1"/>
    <n v="10"/>
    <n v="1"/>
    <n v="0"/>
  </r>
  <r>
    <s v="Aeronautical Engineering"/>
    <s v="24BAE021"/>
    <s v="HEMALATHA K "/>
    <n v="1"/>
    <x v="15"/>
    <x v="15"/>
    <n v="90"/>
    <n v="0"/>
    <n v="90"/>
    <n v="0"/>
    <s v="Pass"/>
    <n v="1"/>
    <n v="9"/>
    <n v="1"/>
    <n v="0"/>
  </r>
  <r>
    <s v="Aeronautical Engineering"/>
    <s v="24BAE021"/>
    <s v="HEMALATHA K "/>
    <n v="1"/>
    <x v="16"/>
    <x v="16"/>
    <n v="91"/>
    <n v="0"/>
    <n v="91"/>
    <n v="0"/>
    <s v="Pass"/>
    <n v="1"/>
    <n v="10"/>
    <n v="1"/>
    <n v="0"/>
  </r>
  <r>
    <s v="Aeronautical Engineering"/>
    <s v="24BAE021"/>
    <s v="HEMALATHA K "/>
    <n v="1"/>
    <x v="17"/>
    <x v="17"/>
    <n v="47"/>
    <n v="43"/>
    <n v="90"/>
    <n v="4"/>
    <s v="Pass"/>
    <n v="1"/>
    <n v="9"/>
    <n v="4"/>
    <n v="1"/>
  </r>
  <r>
    <s v="Aeronautical Engineering"/>
    <s v="24BAE021"/>
    <s v="HEMALATHA K "/>
    <n v="1"/>
    <x v="18"/>
    <x v="18"/>
    <n v="34"/>
    <n v="40"/>
    <n v="74"/>
    <n v="-6"/>
    <s v="Pass"/>
    <n v="1"/>
    <n v="8"/>
    <n v="3"/>
    <n v="1"/>
  </r>
  <r>
    <s v="Aeronautical Engineering"/>
    <s v="24BAE021"/>
    <s v="HEMALATHA K "/>
    <n v="1"/>
    <x v="19"/>
    <x v="19"/>
    <n v="40"/>
    <n v="42"/>
    <n v="82"/>
    <n v="-2"/>
    <s v="Pass"/>
    <n v="1"/>
    <n v="9"/>
    <n v="4"/>
    <n v="1"/>
  </r>
  <r>
    <s v="Aeronautical Engineering"/>
    <s v="24BAE022"/>
    <s v="ISHA B "/>
    <n v="2"/>
    <x v="1"/>
    <x v="1"/>
    <n v="37"/>
    <n v="17"/>
    <n v="54"/>
    <n v="20"/>
    <s v="Fail"/>
    <n v="0"/>
    <n v="0"/>
    <n v="4"/>
    <n v="1"/>
  </r>
  <r>
    <s v="Aeronautical Engineering"/>
    <s v="24BAE022"/>
    <s v="ISHA B "/>
    <n v="2"/>
    <x v="8"/>
    <x v="8"/>
    <n v="20"/>
    <n v="17"/>
    <n v="37"/>
    <n v="3"/>
    <s v="Fail"/>
    <n v="0"/>
    <n v="0"/>
    <n v="3"/>
    <n v="1"/>
  </r>
  <r>
    <s v="Aeronautical Engineering"/>
    <s v="24BAE022"/>
    <s v="ISHA B "/>
    <n v="2"/>
    <x v="0"/>
    <x v="0"/>
    <n v="42"/>
    <n v="32"/>
    <n v="74"/>
    <n v="10"/>
    <s v="Pass"/>
    <n v="1"/>
    <n v="8"/>
    <n v="4"/>
    <n v="1"/>
  </r>
  <r>
    <s v="Aeronautical Engineering"/>
    <s v="24BAE022"/>
    <s v="ISHA B "/>
    <n v="2"/>
    <x v="11"/>
    <x v="11"/>
    <n v="21"/>
    <n v="38"/>
    <n v="59"/>
    <n v="-17"/>
    <s v="Pass"/>
    <n v="1"/>
    <n v="8"/>
    <n v="3"/>
    <n v="1"/>
  </r>
  <r>
    <s v="Aeronautical Engineering"/>
    <s v="24BAE022"/>
    <s v="ISHA B "/>
    <n v="2"/>
    <x v="2"/>
    <x v="2"/>
    <n v="89"/>
    <n v="0"/>
    <n v="89"/>
    <n v="0"/>
    <s v="Pass"/>
    <n v="1"/>
    <n v="9"/>
    <n v="1"/>
    <n v="0"/>
  </r>
  <r>
    <s v="Aeronautical Engineering"/>
    <s v="24BAE022"/>
    <s v="ISHA B "/>
    <n v="2"/>
    <x v="3"/>
    <x v="3"/>
    <n v="35"/>
    <n v="32"/>
    <n v="67"/>
    <n v="3"/>
    <s v="Pass"/>
    <n v="1"/>
    <n v="7"/>
    <n v="1"/>
    <n v="1"/>
  </r>
  <r>
    <s v="Aeronautical Engineering"/>
    <s v="24BAE022"/>
    <s v="ISHA B "/>
    <n v="2"/>
    <x v="4"/>
    <x v="4"/>
    <n v="27"/>
    <n v="39"/>
    <n v="66"/>
    <n v="-12"/>
    <s v="Pass"/>
    <n v="1"/>
    <n v="7"/>
    <n v="2"/>
    <n v="1"/>
  </r>
  <r>
    <s v="Aeronautical Engineering"/>
    <s v="24BAE022"/>
    <s v="ISHA B "/>
    <n v="2"/>
    <x v="39"/>
    <x v="39"/>
    <n v="87"/>
    <n v="0"/>
    <n v="87"/>
    <n v="0"/>
    <s v="Pass"/>
    <n v="1"/>
    <n v="9"/>
    <n v="1"/>
    <n v="0"/>
  </r>
  <r>
    <s v="Aeronautical Engineering"/>
    <s v="24BAE022"/>
    <s v="ISHA B "/>
    <n v="2"/>
    <x v="6"/>
    <x v="6"/>
    <n v="96"/>
    <n v="0"/>
    <n v="96"/>
    <n v="0"/>
    <s v="Pass"/>
    <n v="1"/>
    <n v="10"/>
    <n v="1"/>
    <n v="0"/>
  </r>
  <r>
    <s v="Aeronautical Engineering"/>
    <s v="24BAE022"/>
    <s v="ISHA B "/>
    <n v="2"/>
    <x v="7"/>
    <x v="7"/>
    <n v="34"/>
    <n v="23"/>
    <n v="57"/>
    <n v="11"/>
    <s v="Pass"/>
    <n v="1"/>
    <n v="6"/>
    <n v="4"/>
    <n v="1"/>
  </r>
  <r>
    <s v="Aeronautical Engineering"/>
    <s v="24BAE022"/>
    <s v="ISHA B "/>
    <n v="2"/>
    <x v="9"/>
    <x v="9"/>
    <n v="23"/>
    <n v="30"/>
    <n v="53"/>
    <n v="-7"/>
    <s v="Pass"/>
    <n v="1"/>
    <n v="5"/>
    <n v="3"/>
    <n v="1"/>
  </r>
  <r>
    <s v="Aeronautical Engineering"/>
    <s v="24BAE022"/>
    <s v="ISHA B "/>
    <n v="1"/>
    <x v="10"/>
    <x v="10"/>
    <n v="91"/>
    <n v="0"/>
    <n v="91"/>
    <n v="0"/>
    <s v="Pass"/>
    <n v="1"/>
    <n v="10"/>
    <n v="1"/>
    <n v="0"/>
  </r>
  <r>
    <s v="Aeronautical Engineering"/>
    <s v="24BAE022"/>
    <s v="ISHA B "/>
    <n v="1"/>
    <x v="11"/>
    <x v="11"/>
    <n v="21"/>
    <n v="11"/>
    <n v="32"/>
    <n v="10"/>
    <s v="Fail"/>
    <n v="0"/>
    <n v="0"/>
    <n v="3"/>
    <n v="1"/>
  </r>
  <r>
    <s v="Aeronautical Engineering"/>
    <s v="24BAE022"/>
    <s v="ISHA B "/>
    <n v="1"/>
    <x v="12"/>
    <x v="12"/>
    <n v="71"/>
    <n v="0"/>
    <n v="71"/>
    <n v="0"/>
    <s v="Pass"/>
    <n v="1"/>
    <n v="8"/>
    <n v="1"/>
    <n v="0"/>
  </r>
  <r>
    <s v="Aeronautical Engineering"/>
    <s v="24BAE022"/>
    <s v="ISHA B "/>
    <n v="1"/>
    <x v="13"/>
    <x v="13"/>
    <n v="26"/>
    <n v="44"/>
    <n v="70"/>
    <n v="-18"/>
    <s v="Pass"/>
    <n v="1"/>
    <n v="7"/>
    <n v="1"/>
    <n v="1"/>
  </r>
  <r>
    <s v="Aeronautical Engineering"/>
    <s v="24BAE022"/>
    <s v="ISHA B "/>
    <n v="1"/>
    <x v="28"/>
    <x v="28"/>
    <n v="98"/>
    <n v="0"/>
    <n v="98"/>
    <n v="0"/>
    <s v="Pass"/>
    <n v="1"/>
    <n v="10"/>
    <n v="1"/>
    <n v="0"/>
  </r>
  <r>
    <s v="Aeronautical Engineering"/>
    <s v="24BAE022"/>
    <s v="ISHA B "/>
    <n v="1"/>
    <x v="15"/>
    <x v="15"/>
    <n v="80"/>
    <n v="0"/>
    <n v="80"/>
    <n v="0"/>
    <s v="Pass"/>
    <n v="1"/>
    <n v="8"/>
    <n v="1"/>
    <n v="0"/>
  </r>
  <r>
    <s v="Aeronautical Engineering"/>
    <s v="24BAE022"/>
    <s v="ISHA B "/>
    <n v="1"/>
    <x v="16"/>
    <x v="16"/>
    <n v="80"/>
    <n v="0"/>
    <n v="80"/>
    <n v="0"/>
    <s v="Pass"/>
    <n v="1"/>
    <n v="8"/>
    <n v="1"/>
    <n v="0"/>
  </r>
  <r>
    <s v="Aeronautical Engineering"/>
    <s v="24BAE022"/>
    <s v="ISHA B "/>
    <n v="1"/>
    <x v="17"/>
    <x v="17"/>
    <n v="38"/>
    <n v="37"/>
    <n v="75"/>
    <n v="1"/>
    <s v="Pass"/>
    <n v="1"/>
    <n v="8"/>
    <n v="4"/>
    <n v="1"/>
  </r>
  <r>
    <s v="Aeronautical Engineering"/>
    <s v="24BAE022"/>
    <s v="ISHA B "/>
    <n v="1"/>
    <x v="18"/>
    <x v="18"/>
    <n v="34"/>
    <n v="41"/>
    <n v="75"/>
    <n v="-7"/>
    <s v="Pass"/>
    <n v="1"/>
    <n v="8"/>
    <n v="3"/>
    <n v="1"/>
  </r>
  <r>
    <s v="Aeronautical Engineering"/>
    <s v="24BAE022"/>
    <s v="ISHA B "/>
    <n v="1"/>
    <x v="19"/>
    <x v="19"/>
    <n v="34"/>
    <n v="31"/>
    <n v="65"/>
    <n v="3"/>
    <s v="Pass"/>
    <n v="1"/>
    <n v="7"/>
    <n v="4"/>
    <n v="1"/>
  </r>
  <r>
    <s v="Aeronautical Engineering"/>
    <s v="24BAE023"/>
    <s v="ISHA RAMESHKUMAR "/>
    <n v="2"/>
    <x v="0"/>
    <x v="0"/>
    <n v="43"/>
    <n v="31"/>
    <n v="74"/>
    <n v="12"/>
    <s v="Pass"/>
    <n v="1"/>
    <n v="8"/>
    <n v="4"/>
    <n v="1"/>
  </r>
  <r>
    <s v="Aeronautical Engineering"/>
    <s v="24BAE023"/>
    <s v="ISHA RAMESHKUMAR "/>
    <n v="2"/>
    <x v="1"/>
    <x v="1"/>
    <n v="41"/>
    <n v="30"/>
    <n v="71"/>
    <n v="11"/>
    <s v="Pass"/>
    <n v="1"/>
    <n v="7"/>
    <n v="4"/>
    <n v="1"/>
  </r>
  <r>
    <s v="Aeronautical Engineering"/>
    <s v="24BAE023"/>
    <s v="ISHA RAMESHKUMAR "/>
    <n v="2"/>
    <x v="2"/>
    <x v="2"/>
    <n v="85"/>
    <n v="0"/>
    <n v="85"/>
    <n v="0"/>
    <s v="Pass"/>
    <n v="1"/>
    <n v="9"/>
    <n v="1"/>
    <n v="0"/>
  </r>
  <r>
    <s v="Aeronautical Engineering"/>
    <s v="24BAE023"/>
    <s v="ISHA RAMESHKUMAR "/>
    <n v="2"/>
    <x v="3"/>
    <x v="3"/>
    <n v="39"/>
    <n v="38"/>
    <n v="77"/>
    <n v="1"/>
    <s v="Pass"/>
    <n v="1"/>
    <n v="8"/>
    <n v="1"/>
    <n v="1"/>
  </r>
  <r>
    <s v="Aeronautical Engineering"/>
    <s v="24BAE023"/>
    <s v="ISHA RAMESHKUMAR "/>
    <n v="2"/>
    <x v="20"/>
    <x v="20"/>
    <n v="31"/>
    <n v="46"/>
    <n v="77"/>
    <n v="-15"/>
    <s v="Pass"/>
    <n v="1"/>
    <n v="8"/>
    <n v="2"/>
    <n v="1"/>
  </r>
  <r>
    <s v="Aeronautical Engineering"/>
    <s v="24BAE023"/>
    <s v="ISHA RAMESHKUMAR "/>
    <n v="2"/>
    <x v="29"/>
    <x v="29"/>
    <n v="87"/>
    <n v="0"/>
    <n v="87"/>
    <n v="0"/>
    <s v="Pass"/>
    <n v="1"/>
    <n v="9"/>
    <n v="1"/>
    <n v="0"/>
  </r>
  <r>
    <s v="Aeronautical Engineering"/>
    <s v="24BAE023"/>
    <s v="ISHA RAMESHKUMAR "/>
    <n v="2"/>
    <x v="6"/>
    <x v="6"/>
    <n v="96"/>
    <n v="0"/>
    <n v="96"/>
    <n v="0"/>
    <s v="Pass"/>
    <n v="1"/>
    <n v="10"/>
    <n v="1"/>
    <n v="0"/>
  </r>
  <r>
    <s v="Aeronautical Engineering"/>
    <s v="24BAE023"/>
    <s v="ISHA RAMESHKUMAR "/>
    <n v="2"/>
    <x v="7"/>
    <x v="7"/>
    <n v="36"/>
    <n v="26"/>
    <n v="62"/>
    <n v="10"/>
    <s v="Pass"/>
    <n v="1"/>
    <n v="7"/>
    <n v="4"/>
    <n v="1"/>
  </r>
  <r>
    <s v="Aeronautical Engineering"/>
    <s v="24BAE023"/>
    <s v="ISHA RAMESHKUMAR "/>
    <n v="2"/>
    <x v="8"/>
    <x v="8"/>
    <n v="23"/>
    <n v="52"/>
    <n v="75"/>
    <n v="-29"/>
    <s v="Pass"/>
    <n v="1"/>
    <n v="8"/>
    <n v="3"/>
    <n v="1"/>
  </r>
  <r>
    <s v="Aeronautical Engineering"/>
    <s v="24BAE023"/>
    <s v="ISHA RAMESHKUMAR "/>
    <n v="2"/>
    <x v="9"/>
    <x v="9"/>
    <n v="29"/>
    <n v="53"/>
    <n v="82"/>
    <n v="-24"/>
    <s v="Pass"/>
    <n v="1"/>
    <n v="8"/>
    <n v="3"/>
    <n v="1"/>
  </r>
  <r>
    <s v="Aeronautical Engineering"/>
    <s v="24BAE023"/>
    <s v="ISHA RAMESHKUMAR "/>
    <n v="1"/>
    <x v="10"/>
    <x v="10"/>
    <n v="92"/>
    <n v="0"/>
    <n v="92"/>
    <n v="0"/>
    <s v="Pass"/>
    <n v="1"/>
    <n v="10"/>
    <n v="1"/>
    <n v="0"/>
  </r>
  <r>
    <s v="Aeronautical Engineering"/>
    <s v="24BAE023"/>
    <s v="ISHA RAMESHKUMAR "/>
    <n v="1"/>
    <x v="11"/>
    <x v="11"/>
    <n v="25"/>
    <n v="44"/>
    <n v="69"/>
    <n v="-19"/>
    <s v="Pass"/>
    <n v="1"/>
    <n v="9"/>
    <n v="3"/>
    <n v="1"/>
  </r>
  <r>
    <s v="Aeronautical Engineering"/>
    <s v="24BAE023"/>
    <s v="ISHA RAMESHKUMAR "/>
    <n v="1"/>
    <x v="12"/>
    <x v="12"/>
    <n v="53"/>
    <n v="0"/>
    <n v="53"/>
    <n v="0"/>
    <s v="Pass"/>
    <n v="1"/>
    <n v="5"/>
    <n v="1"/>
    <n v="0"/>
  </r>
  <r>
    <s v="Aeronautical Engineering"/>
    <s v="24BAE023"/>
    <s v="ISHA RAMESHKUMAR "/>
    <n v="1"/>
    <x v="13"/>
    <x v="13"/>
    <n v="25"/>
    <n v="33"/>
    <n v="58"/>
    <n v="-8"/>
    <s v="Pass"/>
    <n v="1"/>
    <n v="6"/>
    <n v="1"/>
    <n v="1"/>
  </r>
  <r>
    <s v="Aeronautical Engineering"/>
    <s v="24BAE023"/>
    <s v="ISHA RAMESHKUMAR "/>
    <n v="1"/>
    <x v="40"/>
    <x v="40"/>
    <n v="85"/>
    <n v="0"/>
    <n v="85"/>
    <n v="0"/>
    <s v="Pass"/>
    <n v="1"/>
    <n v="9"/>
    <n v="1"/>
    <n v="0"/>
  </r>
  <r>
    <s v="Aeronautical Engineering"/>
    <s v="24BAE023"/>
    <s v="ISHA RAMESHKUMAR "/>
    <n v="1"/>
    <x v="15"/>
    <x v="15"/>
    <n v="80"/>
    <n v="0"/>
    <n v="80"/>
    <n v="0"/>
    <s v="Pass"/>
    <n v="1"/>
    <n v="8"/>
    <n v="1"/>
    <n v="0"/>
  </r>
  <r>
    <s v="Aeronautical Engineering"/>
    <s v="24BAE023"/>
    <s v="ISHA RAMESHKUMAR "/>
    <n v="1"/>
    <x v="16"/>
    <x v="16"/>
    <n v="87"/>
    <n v="0"/>
    <n v="87"/>
    <n v="0"/>
    <s v="Pass"/>
    <n v="1"/>
    <n v="9"/>
    <n v="1"/>
    <n v="0"/>
  </r>
  <r>
    <s v="Aeronautical Engineering"/>
    <s v="24BAE023"/>
    <s v="ISHA RAMESHKUMAR "/>
    <n v="1"/>
    <x v="17"/>
    <x v="17"/>
    <n v="39"/>
    <n v="43"/>
    <n v="82"/>
    <n v="-4"/>
    <s v="Pass"/>
    <n v="1"/>
    <n v="8"/>
    <n v="4"/>
    <n v="1"/>
  </r>
  <r>
    <s v="Aeronautical Engineering"/>
    <s v="24BAE023"/>
    <s v="ISHA RAMESHKUMAR "/>
    <n v="1"/>
    <x v="18"/>
    <x v="18"/>
    <n v="35"/>
    <n v="40"/>
    <n v="75"/>
    <n v="-5"/>
    <s v="Pass"/>
    <n v="1"/>
    <n v="8"/>
    <n v="3"/>
    <n v="1"/>
  </r>
  <r>
    <s v="Aeronautical Engineering"/>
    <s v="24BAE023"/>
    <s v="ISHA RAMESHKUMAR "/>
    <n v="1"/>
    <x v="19"/>
    <x v="19"/>
    <n v="36"/>
    <n v="37"/>
    <n v="73"/>
    <n v="-1"/>
    <s v="Pass"/>
    <n v="1"/>
    <n v="8"/>
    <n v="4"/>
    <n v="1"/>
  </r>
  <r>
    <s v="Aeronautical Engineering"/>
    <s v="24BAE024"/>
    <s v="JAISHNU KIRUTHIC M "/>
    <n v="2"/>
    <x v="1"/>
    <x v="1"/>
    <n v="39"/>
    <n v="20"/>
    <n v="59"/>
    <n v="19"/>
    <s v="Fail"/>
    <n v="0"/>
    <n v="0"/>
    <n v="4"/>
    <n v="1"/>
  </r>
  <r>
    <s v="Aeronautical Engineering"/>
    <s v="24BAE024"/>
    <s v="JAISHNU KIRUTHIC M "/>
    <n v="2"/>
    <x v="4"/>
    <x v="4"/>
    <n v="24"/>
    <n v="20"/>
    <n v="44"/>
    <n v="4"/>
    <s v="Fail"/>
    <n v="0"/>
    <n v="0"/>
    <n v="2"/>
    <n v="1"/>
  </r>
  <r>
    <s v="Aeronautical Engineering"/>
    <s v="24BAE024"/>
    <s v="JAISHNU KIRUTHIC M "/>
    <n v="2"/>
    <x v="0"/>
    <x v="0"/>
    <n v="40"/>
    <n v="23"/>
    <n v="63"/>
    <n v="17"/>
    <s v="Pass"/>
    <n v="1"/>
    <n v="7"/>
    <n v="4"/>
    <n v="1"/>
  </r>
  <r>
    <s v="Aeronautical Engineering"/>
    <s v="24BAE024"/>
    <s v="JAISHNU KIRUTHIC M "/>
    <n v="2"/>
    <x v="2"/>
    <x v="2"/>
    <n v="76"/>
    <n v="0"/>
    <n v="76"/>
    <n v="0"/>
    <s v="Pass"/>
    <n v="1"/>
    <n v="8"/>
    <n v="1"/>
    <n v="0"/>
  </r>
  <r>
    <s v="Aeronautical Engineering"/>
    <s v="24BAE024"/>
    <s v="JAISHNU KIRUTHIC M "/>
    <n v="2"/>
    <x v="3"/>
    <x v="3"/>
    <n v="31"/>
    <n v="27"/>
    <n v="58"/>
    <n v="4"/>
    <s v="Pass"/>
    <n v="1"/>
    <n v="6"/>
    <n v="1"/>
    <n v="1"/>
  </r>
  <r>
    <s v="Aeronautical Engineering"/>
    <s v="24BAE024"/>
    <s v="JAISHNU KIRUTHIC M "/>
    <n v="2"/>
    <x v="31"/>
    <x v="31"/>
    <n v="85"/>
    <n v="0"/>
    <n v="85"/>
    <n v="0"/>
    <s v="Pass"/>
    <n v="1"/>
    <n v="9"/>
    <n v="1"/>
    <n v="0"/>
  </r>
  <r>
    <s v="Aeronautical Engineering"/>
    <s v="24BAE024"/>
    <s v="JAISHNU KIRUTHIC M "/>
    <n v="2"/>
    <x v="6"/>
    <x v="6"/>
    <n v="94"/>
    <n v="0"/>
    <n v="94"/>
    <n v="0"/>
    <s v="Pass"/>
    <n v="1"/>
    <n v="10"/>
    <n v="1"/>
    <n v="0"/>
  </r>
  <r>
    <s v="Aeronautical Engineering"/>
    <s v="24BAE024"/>
    <s v="JAISHNU KIRUTHIC M "/>
    <n v="2"/>
    <x v="7"/>
    <x v="7"/>
    <n v="35"/>
    <n v="25"/>
    <n v="60"/>
    <n v="10"/>
    <s v="Pass"/>
    <n v="1"/>
    <n v="7"/>
    <n v="4"/>
    <n v="1"/>
  </r>
  <r>
    <s v="Aeronautical Engineering"/>
    <s v="24BAE024"/>
    <s v="JAISHNU KIRUTHIC M "/>
    <n v="2"/>
    <x v="8"/>
    <x v="8"/>
    <n v="22"/>
    <n v="31"/>
    <n v="53"/>
    <n v="-9"/>
    <s v="Pass"/>
    <n v="1"/>
    <n v="5"/>
    <n v="3"/>
    <n v="1"/>
  </r>
  <r>
    <s v="Aeronautical Engineering"/>
    <s v="24BAE024"/>
    <s v="JAISHNU KIRUTHIC M "/>
    <n v="2"/>
    <x v="9"/>
    <x v="9"/>
    <n v="31"/>
    <n v="43"/>
    <n v="74"/>
    <n v="-12"/>
    <s v="Pass"/>
    <n v="1"/>
    <n v="8"/>
    <n v="3"/>
    <n v="1"/>
  </r>
  <r>
    <s v="Aeronautical Engineering"/>
    <s v="24BAE024"/>
    <s v="JAISHNU KIRUTHIC M "/>
    <n v="1"/>
    <x v="10"/>
    <x v="10"/>
    <n v="95"/>
    <n v="0"/>
    <n v="95"/>
    <n v="0"/>
    <s v="Pass"/>
    <n v="1"/>
    <n v="10"/>
    <n v="1"/>
    <n v="0"/>
  </r>
  <r>
    <s v="Aeronautical Engineering"/>
    <s v="24BAE024"/>
    <s v="JAISHNU KIRUTHIC M "/>
    <n v="1"/>
    <x v="11"/>
    <x v="11"/>
    <n v="23"/>
    <n v="30"/>
    <n v="53"/>
    <n v="-7"/>
    <s v="Pass"/>
    <n v="1"/>
    <n v="6"/>
    <n v="3"/>
    <n v="1"/>
  </r>
  <r>
    <s v="Aeronautical Engineering"/>
    <s v="24BAE024"/>
    <s v="JAISHNU KIRUTHIC M "/>
    <n v="1"/>
    <x v="12"/>
    <x v="12"/>
    <n v="50"/>
    <n v="0"/>
    <n v="50"/>
    <n v="0"/>
    <s v="Pass"/>
    <n v="1"/>
    <n v="5"/>
    <n v="1"/>
    <n v="0"/>
  </r>
  <r>
    <s v="Aeronautical Engineering"/>
    <s v="24BAE024"/>
    <s v="JAISHNU KIRUTHIC M "/>
    <n v="1"/>
    <x v="13"/>
    <x v="13"/>
    <n v="26"/>
    <n v="33"/>
    <n v="59"/>
    <n v="-7"/>
    <s v="Pass"/>
    <n v="1"/>
    <n v="6"/>
    <n v="1"/>
    <n v="1"/>
  </r>
  <r>
    <s v="Aeronautical Engineering"/>
    <s v="24BAE024"/>
    <s v="JAISHNU KIRUTHIC M "/>
    <n v="1"/>
    <x v="41"/>
    <x v="41"/>
    <n v="78"/>
    <n v="0"/>
    <n v="78"/>
    <n v="0"/>
    <s v="Pass"/>
    <n v="1"/>
    <n v="8"/>
    <n v="1"/>
    <n v="0"/>
  </r>
  <r>
    <s v="Aeronautical Engineering"/>
    <s v="24BAE024"/>
    <s v="JAISHNU KIRUTHIC M "/>
    <n v="1"/>
    <x v="15"/>
    <x v="15"/>
    <n v="100"/>
    <n v="0"/>
    <n v="100"/>
    <n v="0"/>
    <s v="Pass"/>
    <n v="1"/>
    <n v="10"/>
    <n v="1"/>
    <n v="0"/>
  </r>
  <r>
    <s v="Aeronautical Engineering"/>
    <s v="24BAE024"/>
    <s v="JAISHNU KIRUTHIC M "/>
    <n v="1"/>
    <x v="16"/>
    <x v="16"/>
    <n v="90"/>
    <n v="0"/>
    <n v="90"/>
    <n v="0"/>
    <s v="Pass"/>
    <n v="1"/>
    <n v="9"/>
    <n v="1"/>
    <n v="0"/>
  </r>
  <r>
    <s v="Aeronautical Engineering"/>
    <s v="24BAE024"/>
    <s v="JAISHNU KIRUTHIC M "/>
    <n v="1"/>
    <x v="17"/>
    <x v="17"/>
    <n v="36"/>
    <n v="28"/>
    <n v="64"/>
    <n v="8"/>
    <s v="Pass"/>
    <n v="1"/>
    <n v="7"/>
    <n v="4"/>
    <n v="1"/>
  </r>
  <r>
    <s v="Aeronautical Engineering"/>
    <s v="24BAE024"/>
    <s v="JAISHNU KIRUTHIC M "/>
    <n v="1"/>
    <x v="18"/>
    <x v="18"/>
    <n v="36"/>
    <n v="33"/>
    <n v="69"/>
    <n v="3"/>
    <s v="Pass"/>
    <n v="1"/>
    <n v="7"/>
    <n v="3"/>
    <n v="1"/>
  </r>
  <r>
    <s v="Aeronautical Engineering"/>
    <s v="24BAE024"/>
    <s v="JAISHNU KIRUTHIC M "/>
    <n v="1"/>
    <x v="19"/>
    <x v="19"/>
    <n v="37"/>
    <n v="33"/>
    <n v="70"/>
    <n v="4"/>
    <s v="Pass"/>
    <n v="1"/>
    <n v="8"/>
    <n v="4"/>
    <n v="1"/>
  </r>
  <r>
    <s v="Aeronautical Engineering"/>
    <s v="24BAE025"/>
    <s v="JAYA SHREE V "/>
    <n v="2"/>
    <x v="0"/>
    <x v="0"/>
    <n v="48"/>
    <n v="37"/>
    <n v="85"/>
    <n v="11"/>
    <s v="Pass"/>
    <n v="1"/>
    <n v="8"/>
    <n v="4"/>
    <n v="1"/>
  </r>
  <r>
    <s v="Aeronautical Engineering"/>
    <s v="24BAE025"/>
    <s v="JAYA SHREE V "/>
    <n v="2"/>
    <x v="1"/>
    <x v="1"/>
    <n v="46"/>
    <n v="35"/>
    <n v="81"/>
    <n v="11"/>
    <s v="Pass"/>
    <n v="1"/>
    <n v="9"/>
    <n v="4"/>
    <n v="1"/>
  </r>
  <r>
    <s v="Aeronautical Engineering"/>
    <s v="24BAE025"/>
    <s v="JAYA SHREE V "/>
    <n v="2"/>
    <x v="3"/>
    <x v="3"/>
    <n v="44"/>
    <n v="35"/>
    <n v="79"/>
    <n v="9"/>
    <s v="Pass"/>
    <n v="1"/>
    <n v="8"/>
    <n v="1"/>
    <n v="1"/>
  </r>
  <r>
    <s v="Aeronautical Engineering"/>
    <s v="24BAE025"/>
    <s v="JAYA SHREE V "/>
    <n v="2"/>
    <x v="20"/>
    <x v="20"/>
    <n v="35"/>
    <n v="47"/>
    <n v="82"/>
    <n v="-12"/>
    <s v="Pass"/>
    <n v="1"/>
    <n v="8"/>
    <n v="2"/>
    <n v="1"/>
  </r>
  <r>
    <s v="Aeronautical Engineering"/>
    <s v="24BAE025"/>
    <s v="JAYA SHREE V "/>
    <n v="2"/>
    <x v="26"/>
    <x v="26"/>
    <n v="52"/>
    <n v="37"/>
    <n v="89"/>
    <n v="15"/>
    <s v="Pass"/>
    <n v="1"/>
    <n v="9"/>
    <n v="3"/>
    <n v="1"/>
  </r>
  <r>
    <s v="Aeronautical Engineering"/>
    <s v="24BAE025"/>
    <s v="JAYA SHREE V "/>
    <n v="2"/>
    <x v="7"/>
    <x v="7"/>
    <n v="44"/>
    <n v="35"/>
    <n v="79"/>
    <n v="9"/>
    <s v="Pass"/>
    <n v="1"/>
    <n v="8"/>
    <n v="4"/>
    <n v="1"/>
  </r>
  <r>
    <s v="Aeronautical Engineering"/>
    <s v="24BAE025"/>
    <s v="JAYA SHREE V "/>
    <n v="2"/>
    <x v="8"/>
    <x v="8"/>
    <n v="31"/>
    <n v="42"/>
    <n v="73"/>
    <n v="-11"/>
    <s v="Pass"/>
    <n v="1"/>
    <n v="8"/>
    <n v="3"/>
    <n v="1"/>
  </r>
  <r>
    <s v="Aeronautical Engineering"/>
    <s v="24BAE025"/>
    <s v="JAYA SHREE V "/>
    <n v="2"/>
    <x v="9"/>
    <x v="9"/>
    <n v="36"/>
    <n v="57"/>
    <n v="93"/>
    <n v="-21"/>
    <s v="Pass"/>
    <n v="1"/>
    <n v="10"/>
    <n v="3"/>
    <n v="1"/>
  </r>
  <r>
    <s v="Aeronautical Engineering"/>
    <s v="24BAE025"/>
    <s v="JAYA SHREE V "/>
    <n v="1"/>
    <x v="10"/>
    <x v="10"/>
    <n v="85"/>
    <n v="0"/>
    <n v="85"/>
    <n v="0"/>
    <s v="Pass"/>
    <n v="1"/>
    <n v="9"/>
    <n v="1"/>
    <n v="0"/>
  </r>
  <r>
    <s v="Aeronautical Engineering"/>
    <s v="24BAE025"/>
    <s v="JAYA SHREE V "/>
    <n v="1"/>
    <x v="11"/>
    <x v="11"/>
    <n v="26"/>
    <n v="52"/>
    <n v="78"/>
    <n v="-26"/>
    <s v="Pass"/>
    <n v="1"/>
    <n v="10"/>
    <n v="3"/>
    <n v="1"/>
  </r>
  <r>
    <s v="Aeronautical Engineering"/>
    <s v="24BAE025"/>
    <s v="JAYA SHREE V "/>
    <n v="1"/>
    <x v="12"/>
    <x v="12"/>
    <n v="90"/>
    <n v="0"/>
    <n v="90"/>
    <n v="0"/>
    <s v="Pass"/>
    <n v="1"/>
    <n v="9"/>
    <n v="1"/>
    <n v="0"/>
  </r>
  <r>
    <s v="Aeronautical Engineering"/>
    <s v="24BAE025"/>
    <s v="JAYA SHREE V "/>
    <n v="1"/>
    <x v="13"/>
    <x v="13"/>
    <n v="34"/>
    <n v="51"/>
    <n v="85"/>
    <n v="-17"/>
    <s v="Pass"/>
    <n v="1"/>
    <n v="9"/>
    <n v="1"/>
    <n v="1"/>
  </r>
  <r>
    <s v="Aeronautical Engineering"/>
    <s v="24BAE025"/>
    <s v="JAYA SHREE V "/>
    <n v="1"/>
    <x v="27"/>
    <x v="27"/>
    <n v="58"/>
    <n v="38"/>
    <n v="96"/>
    <n v="20"/>
    <s v="Pass"/>
    <n v="1"/>
    <n v="10"/>
    <n v="3"/>
    <n v="1"/>
  </r>
  <r>
    <s v="Aeronautical Engineering"/>
    <s v="24BAE025"/>
    <s v="JAYA SHREE V "/>
    <n v="1"/>
    <x v="17"/>
    <x v="17"/>
    <n v="45"/>
    <n v="41"/>
    <n v="86"/>
    <n v="4"/>
    <s v="Pass"/>
    <n v="1"/>
    <n v="8"/>
    <n v="4"/>
    <n v="1"/>
  </r>
  <r>
    <s v="Aeronautical Engineering"/>
    <s v="24BAE025"/>
    <s v="JAYA SHREE V "/>
    <n v="1"/>
    <x v="18"/>
    <x v="18"/>
    <n v="46"/>
    <n v="48"/>
    <n v="94"/>
    <n v="-2"/>
    <s v="Pass"/>
    <n v="1"/>
    <n v="10"/>
    <n v="3"/>
    <n v="1"/>
  </r>
  <r>
    <s v="Aeronautical Engineering"/>
    <s v="24BAE025"/>
    <s v="JAYA SHREE V "/>
    <n v="1"/>
    <x v="19"/>
    <x v="19"/>
    <n v="44"/>
    <n v="42"/>
    <n v="86"/>
    <n v="2"/>
    <s v="Pass"/>
    <n v="1"/>
    <n v="10"/>
    <n v="4"/>
    <n v="1"/>
  </r>
  <r>
    <s v="Aeronautical Engineering"/>
    <s v="24BAE068"/>
    <s v="JEEVA RAGHAVAN A S "/>
    <n v="2"/>
    <x v="0"/>
    <x v="0"/>
    <n v="42"/>
    <n v="32"/>
    <n v="74"/>
    <n v="10"/>
    <s v="Pass"/>
    <n v="1"/>
    <n v="8"/>
    <n v="4"/>
    <n v="1"/>
  </r>
  <r>
    <s v="Aeronautical Engineering"/>
    <s v="24BAE068"/>
    <s v="JEEVA RAGHAVAN A S "/>
    <n v="2"/>
    <x v="1"/>
    <x v="1"/>
    <n v="41"/>
    <n v="30"/>
    <n v="71"/>
    <n v="11"/>
    <s v="Pass"/>
    <n v="1"/>
    <n v="7"/>
    <n v="4"/>
    <n v="1"/>
  </r>
  <r>
    <s v="Aeronautical Engineering"/>
    <s v="24BAE068"/>
    <s v="JEEVA RAGHAVAN A S "/>
    <n v="2"/>
    <x v="2"/>
    <x v="2"/>
    <n v="84"/>
    <n v="0"/>
    <n v="84"/>
    <n v="0"/>
    <s v="Pass"/>
    <n v="1"/>
    <n v="9"/>
    <n v="1"/>
    <n v="0"/>
  </r>
  <r>
    <s v="Aeronautical Engineering"/>
    <s v="24BAE068"/>
    <s v="JEEVA RAGHAVAN A S "/>
    <n v="2"/>
    <x v="3"/>
    <x v="3"/>
    <n v="39"/>
    <n v="32"/>
    <n v="71"/>
    <n v="7"/>
    <s v="Pass"/>
    <n v="1"/>
    <n v="7"/>
    <n v="1"/>
    <n v="1"/>
  </r>
  <r>
    <s v="Aeronautical Engineering"/>
    <s v="24BAE068"/>
    <s v="JEEVA RAGHAVAN A S "/>
    <n v="2"/>
    <x v="4"/>
    <x v="4"/>
    <n v="33"/>
    <n v="47"/>
    <n v="80"/>
    <n v="-14"/>
    <s v="Pass"/>
    <n v="1"/>
    <n v="8"/>
    <n v="2"/>
    <n v="1"/>
  </r>
  <r>
    <s v="Aeronautical Engineering"/>
    <s v="24BAE068"/>
    <s v="JEEVA RAGHAVAN A S "/>
    <n v="2"/>
    <x v="35"/>
    <x v="35"/>
    <n v="82"/>
    <n v="0"/>
    <n v="82"/>
    <n v="0"/>
    <s v="Pass"/>
    <n v="1"/>
    <n v="9"/>
    <n v="1"/>
    <n v="0"/>
  </r>
  <r>
    <s v="Aeronautical Engineering"/>
    <s v="24BAE068"/>
    <s v="JEEVA RAGHAVAN A S "/>
    <n v="2"/>
    <x v="6"/>
    <x v="6"/>
    <n v="92"/>
    <n v="0"/>
    <n v="92"/>
    <n v="0"/>
    <s v="Pass"/>
    <n v="1"/>
    <n v="10"/>
    <n v="1"/>
    <n v="0"/>
  </r>
  <r>
    <s v="Aeronautical Engineering"/>
    <s v="24BAE068"/>
    <s v="JEEVA RAGHAVAN A S "/>
    <n v="2"/>
    <x v="7"/>
    <x v="7"/>
    <n v="37"/>
    <n v="28"/>
    <n v="65"/>
    <n v="9"/>
    <s v="Pass"/>
    <n v="1"/>
    <n v="7"/>
    <n v="4"/>
    <n v="1"/>
  </r>
  <r>
    <s v="Aeronautical Engineering"/>
    <s v="24BAE068"/>
    <s v="JEEVA RAGHAVAN A S "/>
    <n v="2"/>
    <x v="8"/>
    <x v="8"/>
    <n v="28"/>
    <n v="42"/>
    <n v="70"/>
    <n v="-14"/>
    <s v="Pass"/>
    <n v="1"/>
    <n v="7"/>
    <n v="3"/>
    <n v="1"/>
  </r>
  <r>
    <s v="Aeronautical Engineering"/>
    <s v="24BAE068"/>
    <s v="JEEVA RAGHAVAN A S "/>
    <n v="2"/>
    <x v="9"/>
    <x v="9"/>
    <n v="35"/>
    <n v="39"/>
    <n v="74"/>
    <n v="-4"/>
    <s v="Pass"/>
    <n v="1"/>
    <n v="8"/>
    <n v="3"/>
    <n v="1"/>
  </r>
  <r>
    <s v="Aeronautical Engineering"/>
    <s v="24BAE068"/>
    <s v="JEEVA RAGHAVAN A S "/>
    <n v="1"/>
    <x v="10"/>
    <x v="10"/>
    <n v="95"/>
    <n v="0"/>
    <n v="95"/>
    <n v="0"/>
    <s v="Pass"/>
    <n v="1"/>
    <n v="10"/>
    <n v="1"/>
    <n v="0"/>
  </r>
  <r>
    <s v="Aeronautical Engineering"/>
    <s v="24BAE068"/>
    <s v="JEEVA RAGHAVAN A S "/>
    <n v="1"/>
    <x v="11"/>
    <x v="11"/>
    <n v="25"/>
    <n v="30"/>
    <n v="55"/>
    <n v="-5"/>
    <s v="Pass"/>
    <n v="1"/>
    <n v="7"/>
    <n v="3"/>
    <n v="1"/>
  </r>
  <r>
    <s v="Aeronautical Engineering"/>
    <s v="24BAE068"/>
    <s v="JEEVA RAGHAVAN A S "/>
    <n v="1"/>
    <x v="12"/>
    <x v="12"/>
    <n v="63"/>
    <n v="0"/>
    <n v="63"/>
    <n v="0"/>
    <s v="Pass"/>
    <n v="1"/>
    <n v="7"/>
    <n v="1"/>
    <n v="0"/>
  </r>
  <r>
    <s v="Aeronautical Engineering"/>
    <s v="24BAE068"/>
    <s v="JEEVA RAGHAVAN A S "/>
    <n v="1"/>
    <x v="13"/>
    <x v="13"/>
    <n v="26"/>
    <n v="41"/>
    <n v="67"/>
    <n v="-15"/>
    <s v="Pass"/>
    <n v="1"/>
    <n v="7"/>
    <n v="1"/>
    <n v="1"/>
  </r>
  <r>
    <s v="Aeronautical Engineering"/>
    <s v="24BAE068"/>
    <s v="JEEVA RAGHAVAN A S "/>
    <n v="1"/>
    <x v="42"/>
    <x v="42"/>
    <n v="82"/>
    <n v="0"/>
    <n v="82"/>
    <n v="0"/>
    <s v="Pass"/>
    <n v="1"/>
    <n v="9"/>
    <n v="1"/>
    <n v="0"/>
  </r>
  <r>
    <s v="Aeronautical Engineering"/>
    <s v="24BAE068"/>
    <s v="JEEVA RAGHAVAN A S "/>
    <n v="1"/>
    <x v="15"/>
    <x v="15"/>
    <n v="90"/>
    <n v="0"/>
    <n v="90"/>
    <n v="0"/>
    <s v="Pass"/>
    <n v="1"/>
    <n v="9"/>
    <n v="1"/>
    <n v="0"/>
  </r>
  <r>
    <s v="Aeronautical Engineering"/>
    <s v="24BAE068"/>
    <s v="JEEVA RAGHAVAN A S "/>
    <n v="1"/>
    <x v="16"/>
    <x v="16"/>
    <n v="88"/>
    <n v="0"/>
    <n v="88"/>
    <n v="0"/>
    <s v="Pass"/>
    <n v="1"/>
    <n v="9"/>
    <n v="1"/>
    <n v="0"/>
  </r>
  <r>
    <s v="Aeronautical Engineering"/>
    <s v="24BAE068"/>
    <s v="JEEVA RAGHAVAN A S "/>
    <n v="1"/>
    <x v="17"/>
    <x v="17"/>
    <n v="38"/>
    <n v="30"/>
    <n v="68"/>
    <n v="8"/>
    <s v="Pass"/>
    <n v="1"/>
    <n v="7"/>
    <n v="4"/>
    <n v="1"/>
  </r>
  <r>
    <s v="Aeronautical Engineering"/>
    <s v="24BAE068"/>
    <s v="JEEVA RAGHAVAN A S "/>
    <n v="1"/>
    <x v="18"/>
    <x v="18"/>
    <n v="37"/>
    <n v="34"/>
    <n v="71"/>
    <n v="3"/>
    <s v="Pass"/>
    <n v="1"/>
    <n v="7"/>
    <n v="3"/>
    <n v="1"/>
  </r>
  <r>
    <s v="Aeronautical Engineering"/>
    <s v="24BAE068"/>
    <s v="JEEVA RAGHAVAN A S "/>
    <n v="1"/>
    <x v="19"/>
    <x v="19"/>
    <n v="37"/>
    <n v="38"/>
    <n v="75"/>
    <n v="-1"/>
    <s v="Pass"/>
    <n v="1"/>
    <n v="8"/>
    <n v="4"/>
    <n v="1"/>
  </r>
  <r>
    <s v="Aeronautical Engineering"/>
    <s v="24BAE026"/>
    <s v="KALIVARATHAN V "/>
    <n v="2"/>
    <x v="0"/>
    <x v="0"/>
    <n v="42"/>
    <n v="34"/>
    <n v="76"/>
    <n v="8"/>
    <s v="Pass"/>
    <n v="1"/>
    <n v="8"/>
    <n v="4"/>
    <n v="1"/>
  </r>
  <r>
    <s v="Aeronautical Engineering"/>
    <s v="24BAE026"/>
    <s v="KALIVARATHAN V "/>
    <n v="2"/>
    <x v="1"/>
    <x v="1"/>
    <n v="34"/>
    <n v="31"/>
    <n v="65"/>
    <n v="3"/>
    <s v="Pass"/>
    <n v="1"/>
    <n v="7"/>
    <n v="4"/>
    <n v="1"/>
  </r>
  <r>
    <s v="Aeronautical Engineering"/>
    <s v="24BAE026"/>
    <s v="KALIVARATHAN V "/>
    <n v="2"/>
    <x v="11"/>
    <x v="11"/>
    <n v="10"/>
    <n v="35"/>
    <n v="45"/>
    <n v="-25"/>
    <s v="Fail"/>
    <n v="0"/>
    <n v="0"/>
    <n v="3"/>
    <n v="1"/>
  </r>
  <r>
    <s v="Aeronautical Engineering"/>
    <s v="24BAE026"/>
    <s v="KALIVARATHAN V "/>
    <n v="2"/>
    <x v="2"/>
    <x v="2"/>
    <n v="80"/>
    <n v="0"/>
    <n v="80"/>
    <n v="0"/>
    <s v="Pass"/>
    <n v="1"/>
    <n v="8"/>
    <n v="1"/>
    <n v="0"/>
  </r>
  <r>
    <s v="Aeronautical Engineering"/>
    <s v="24BAE026"/>
    <s v="KALIVARATHAN V "/>
    <n v="2"/>
    <x v="3"/>
    <x v="3"/>
    <n v="40"/>
    <n v="32"/>
    <n v="72"/>
    <n v="8"/>
    <s v="Pass"/>
    <n v="1"/>
    <n v="7"/>
    <n v="1"/>
    <n v="1"/>
  </r>
  <r>
    <s v="Aeronautical Engineering"/>
    <s v="24BAE026"/>
    <s v="KALIVARATHAN V "/>
    <n v="2"/>
    <x v="4"/>
    <x v="4"/>
    <n v="27"/>
    <n v="38"/>
    <n v="65"/>
    <n v="-11"/>
    <s v="Pass"/>
    <n v="1"/>
    <n v="7"/>
    <n v="2"/>
    <n v="1"/>
  </r>
  <r>
    <s v="Aeronautical Engineering"/>
    <s v="24BAE026"/>
    <s v="KALIVARATHAN V "/>
    <n v="2"/>
    <x v="32"/>
    <x v="32"/>
    <n v="65"/>
    <n v="0"/>
    <n v="65"/>
    <n v="0"/>
    <s v="Pass"/>
    <n v="1"/>
    <n v="7"/>
    <n v="1"/>
    <n v="0"/>
  </r>
  <r>
    <s v="Aeronautical Engineering"/>
    <s v="24BAE026"/>
    <s v="KALIVARATHAN V "/>
    <n v="2"/>
    <x v="6"/>
    <x v="6"/>
    <n v="94"/>
    <n v="0"/>
    <n v="94"/>
    <n v="0"/>
    <s v="Pass"/>
    <n v="1"/>
    <n v="10"/>
    <n v="1"/>
    <n v="0"/>
  </r>
  <r>
    <s v="Aeronautical Engineering"/>
    <s v="24BAE026"/>
    <s v="KALIVARATHAN V "/>
    <n v="2"/>
    <x v="7"/>
    <x v="7"/>
    <n v="40"/>
    <n v="29"/>
    <n v="69"/>
    <n v="11"/>
    <s v="Pass"/>
    <n v="1"/>
    <n v="8"/>
    <n v="4"/>
    <n v="1"/>
  </r>
  <r>
    <s v="Aeronautical Engineering"/>
    <s v="24BAE026"/>
    <s v="KALIVARATHAN V "/>
    <n v="2"/>
    <x v="8"/>
    <x v="8"/>
    <n v="21"/>
    <n v="31"/>
    <n v="52"/>
    <n v="-10"/>
    <s v="Pass"/>
    <n v="1"/>
    <n v="5"/>
    <n v="3"/>
    <n v="1"/>
  </r>
  <r>
    <s v="Aeronautical Engineering"/>
    <s v="24BAE026"/>
    <s v="KALIVARATHAN V "/>
    <n v="2"/>
    <x v="9"/>
    <x v="9"/>
    <n v="32"/>
    <n v="46"/>
    <n v="78"/>
    <n v="-14"/>
    <s v="Pass"/>
    <n v="1"/>
    <n v="8"/>
    <n v="3"/>
    <n v="1"/>
  </r>
  <r>
    <s v="Aeronautical Engineering"/>
    <s v="24BAE026"/>
    <s v="KALIVARATHAN V "/>
    <n v="1"/>
    <x v="10"/>
    <x v="10"/>
    <n v="90"/>
    <n v="0"/>
    <n v="90"/>
    <n v="0"/>
    <s v="Pass"/>
    <n v="1"/>
    <n v="9"/>
    <n v="1"/>
    <n v="0"/>
  </r>
  <r>
    <s v="Aeronautical Engineering"/>
    <s v="24BAE026"/>
    <s v="KALIVARATHAN V "/>
    <n v="1"/>
    <x v="11"/>
    <x v="11"/>
    <n v="10"/>
    <n v="14"/>
    <n v="24"/>
    <n v="-4"/>
    <s v="Fail"/>
    <n v="0"/>
    <n v="0"/>
    <n v="3"/>
    <n v="1"/>
  </r>
  <r>
    <s v="Aeronautical Engineering"/>
    <s v="24BAE026"/>
    <s v="KALIVARATHAN V "/>
    <n v="1"/>
    <x v="12"/>
    <x v="12"/>
    <n v="86"/>
    <n v="0"/>
    <n v="86"/>
    <n v="0"/>
    <s v="Pass"/>
    <n v="1"/>
    <n v="9"/>
    <n v="1"/>
    <n v="0"/>
  </r>
  <r>
    <s v="Aeronautical Engineering"/>
    <s v="24BAE026"/>
    <s v="KALIVARATHAN V "/>
    <n v="1"/>
    <x v="13"/>
    <x v="13"/>
    <n v="33"/>
    <n v="53"/>
    <n v="86"/>
    <n v="-20"/>
    <s v="Pass"/>
    <n v="1"/>
    <n v="9"/>
    <n v="1"/>
    <n v="1"/>
  </r>
  <r>
    <s v="Aeronautical Engineering"/>
    <s v="24BAE026"/>
    <s v="KALIVARATHAN V "/>
    <n v="1"/>
    <x v="24"/>
    <x v="24"/>
    <n v="96"/>
    <n v="0"/>
    <n v="96"/>
    <n v="0"/>
    <s v="Pass"/>
    <n v="1"/>
    <n v="10"/>
    <n v="1"/>
    <n v="0"/>
  </r>
  <r>
    <s v="Aeronautical Engineering"/>
    <s v="24BAE026"/>
    <s v="KALIVARATHAN V "/>
    <n v="1"/>
    <x v="15"/>
    <x v="15"/>
    <n v="80"/>
    <n v="0"/>
    <n v="80"/>
    <n v="0"/>
    <s v="Pass"/>
    <n v="1"/>
    <n v="8"/>
    <n v="1"/>
    <n v="0"/>
  </r>
  <r>
    <s v="Aeronautical Engineering"/>
    <s v="24BAE026"/>
    <s v="KALIVARATHAN V "/>
    <n v="1"/>
    <x v="16"/>
    <x v="16"/>
    <n v="86"/>
    <n v="0"/>
    <n v="86"/>
    <n v="0"/>
    <s v="Pass"/>
    <n v="1"/>
    <n v="9"/>
    <n v="1"/>
    <n v="0"/>
  </r>
  <r>
    <s v="Aeronautical Engineering"/>
    <s v="24BAE026"/>
    <s v="KALIVARATHAN V "/>
    <n v="1"/>
    <x v="17"/>
    <x v="17"/>
    <n v="41"/>
    <n v="30"/>
    <n v="71"/>
    <n v="11"/>
    <s v="Pass"/>
    <n v="1"/>
    <n v="7"/>
    <n v="4"/>
    <n v="1"/>
  </r>
  <r>
    <s v="Aeronautical Engineering"/>
    <s v="24BAE026"/>
    <s v="KALIVARATHAN V "/>
    <n v="1"/>
    <x v="18"/>
    <x v="18"/>
    <n v="38"/>
    <n v="40"/>
    <n v="78"/>
    <n v="-2"/>
    <s v="Pass"/>
    <n v="1"/>
    <n v="8"/>
    <n v="3"/>
    <n v="1"/>
  </r>
  <r>
    <s v="Aeronautical Engineering"/>
    <s v="24BAE026"/>
    <s v="KALIVARATHAN V "/>
    <n v="1"/>
    <x v="19"/>
    <x v="19"/>
    <n v="34"/>
    <n v="28"/>
    <n v="62"/>
    <n v="6"/>
    <s v="Pass"/>
    <n v="1"/>
    <n v="7"/>
    <n v="4"/>
    <n v="1"/>
  </r>
  <r>
    <s v="Aeronautical Engineering"/>
    <s v="24BAE027"/>
    <s v="KAUSHAL R J "/>
    <n v="2"/>
    <x v="1"/>
    <x v="1"/>
    <n v="26"/>
    <n v="0"/>
    <n v="0"/>
    <n v="0"/>
    <s v="SA"/>
    <n v="0"/>
    <n v="0"/>
    <n v="4"/>
    <n v="0"/>
  </r>
  <r>
    <s v="Aeronautical Engineering"/>
    <s v="24BAE027"/>
    <s v="KAUSHAL R J "/>
    <n v="2"/>
    <x v="29"/>
    <x v="29"/>
    <n v="6"/>
    <n v="0"/>
    <n v="6"/>
    <n v="0"/>
    <s v="Fail"/>
    <n v="0"/>
    <n v="0"/>
    <n v="1"/>
    <n v="0"/>
  </r>
  <r>
    <s v="Aeronautical Engineering"/>
    <s v="24BAE027"/>
    <s v="KAUSHAL R J "/>
    <n v="2"/>
    <x v="0"/>
    <x v="0"/>
    <n v="34"/>
    <n v="27"/>
    <n v="61"/>
    <n v="7"/>
    <s v="Pass"/>
    <n v="1"/>
    <n v="6"/>
    <n v="4"/>
    <n v="1"/>
  </r>
  <r>
    <s v="Aeronautical Engineering"/>
    <s v="24BAE027"/>
    <s v="KAUSHAL R J "/>
    <n v="2"/>
    <x v="2"/>
    <x v="2"/>
    <n v="73"/>
    <n v="0"/>
    <n v="73"/>
    <n v="0"/>
    <s v="Pass"/>
    <n v="1"/>
    <n v="8"/>
    <n v="1"/>
    <n v="0"/>
  </r>
  <r>
    <s v="Aeronautical Engineering"/>
    <s v="24BAE027"/>
    <s v="KAUSHAL R J "/>
    <n v="2"/>
    <x v="3"/>
    <x v="3"/>
    <n v="25"/>
    <n v="27"/>
    <n v="52"/>
    <n v="-2"/>
    <s v="Pass"/>
    <n v="1"/>
    <n v="5"/>
    <n v="1"/>
    <n v="1"/>
  </r>
  <r>
    <s v="Aeronautical Engineering"/>
    <s v="24BAE027"/>
    <s v="KAUSHAL R J "/>
    <n v="2"/>
    <x v="4"/>
    <x v="4"/>
    <n v="21"/>
    <n v="34"/>
    <n v="55"/>
    <n v="-13"/>
    <s v="Pass"/>
    <n v="1"/>
    <n v="5"/>
    <n v="2"/>
    <n v="1"/>
  </r>
  <r>
    <s v="Aeronautical Engineering"/>
    <s v="24BAE027"/>
    <s v="KAUSHAL R J "/>
    <n v="2"/>
    <x v="6"/>
    <x v="6"/>
    <n v="94"/>
    <n v="0"/>
    <n v="94"/>
    <n v="0"/>
    <s v="Pass"/>
    <n v="1"/>
    <n v="10"/>
    <n v="1"/>
    <n v="0"/>
  </r>
  <r>
    <s v="Aeronautical Engineering"/>
    <s v="24BAE027"/>
    <s v="KAUSHAL R J "/>
    <n v="2"/>
    <x v="7"/>
    <x v="7"/>
    <n v="32"/>
    <n v="25"/>
    <n v="57"/>
    <n v="7"/>
    <s v="Pass"/>
    <n v="1"/>
    <n v="6"/>
    <n v="4"/>
    <n v="1"/>
  </r>
  <r>
    <s v="Aeronautical Engineering"/>
    <s v="24BAE027"/>
    <s v="KAUSHAL R J "/>
    <n v="2"/>
    <x v="8"/>
    <x v="8"/>
    <n v="21"/>
    <n v="33"/>
    <n v="54"/>
    <n v="-12"/>
    <s v="Pass"/>
    <n v="1"/>
    <n v="5"/>
    <n v="3"/>
    <n v="1"/>
  </r>
  <r>
    <s v="Aeronautical Engineering"/>
    <s v="24BAE027"/>
    <s v="KAUSHAL R J "/>
    <n v="2"/>
    <x v="9"/>
    <x v="9"/>
    <n v="20"/>
    <n v="32"/>
    <n v="52"/>
    <n v="-12"/>
    <s v="Pass"/>
    <n v="1"/>
    <n v="5"/>
    <n v="3"/>
    <n v="1"/>
  </r>
  <r>
    <s v="Aeronautical Engineering"/>
    <s v="24BAE027"/>
    <s v="KAUSHAL R J "/>
    <n v="1"/>
    <x v="10"/>
    <x v="10"/>
    <n v="96"/>
    <n v="0"/>
    <n v="96"/>
    <n v="0"/>
    <s v="Pass"/>
    <n v="1"/>
    <n v="10"/>
    <n v="1"/>
    <n v="0"/>
  </r>
  <r>
    <s v="Aeronautical Engineering"/>
    <s v="24BAE027"/>
    <s v="KAUSHAL R J "/>
    <n v="1"/>
    <x v="11"/>
    <x v="11"/>
    <n v="14"/>
    <n v="36"/>
    <n v="50"/>
    <n v="-22"/>
    <s v="Pass"/>
    <n v="1"/>
    <n v="5"/>
    <n v="3"/>
    <n v="1"/>
  </r>
  <r>
    <s v="Aeronautical Engineering"/>
    <s v="24BAE027"/>
    <s v="KAUSHAL R J "/>
    <n v="1"/>
    <x v="12"/>
    <x v="12"/>
    <n v="50"/>
    <n v="0"/>
    <n v="50"/>
    <n v="0"/>
    <s v="Pass"/>
    <n v="1"/>
    <n v="5"/>
    <n v="1"/>
    <n v="0"/>
  </r>
  <r>
    <s v="Aeronautical Engineering"/>
    <s v="24BAE027"/>
    <s v="KAUSHAL R J "/>
    <n v="1"/>
    <x v="13"/>
    <x v="13"/>
    <n v="24"/>
    <n v="33"/>
    <n v="57"/>
    <n v="-9"/>
    <s v="Pass"/>
    <n v="1"/>
    <n v="6"/>
    <n v="1"/>
    <n v="1"/>
  </r>
  <r>
    <s v="Aeronautical Engineering"/>
    <s v="24BAE027"/>
    <s v="KAUSHAL R J "/>
    <n v="1"/>
    <x v="43"/>
    <x v="43"/>
    <n v="85"/>
    <n v="0"/>
    <n v="85"/>
    <n v="0"/>
    <s v="Pass"/>
    <n v="1"/>
    <n v="9"/>
    <n v="1"/>
    <n v="0"/>
  </r>
  <r>
    <s v="Aeronautical Engineering"/>
    <s v="24BAE027"/>
    <s v="KAUSHAL R J "/>
    <n v="1"/>
    <x v="15"/>
    <x v="15"/>
    <n v="85"/>
    <n v="0"/>
    <n v="85"/>
    <n v="0"/>
    <s v="Pass"/>
    <n v="1"/>
    <n v="9"/>
    <n v="1"/>
    <n v="0"/>
  </r>
  <r>
    <s v="Aeronautical Engineering"/>
    <s v="24BAE027"/>
    <s v="KAUSHAL R J "/>
    <n v="1"/>
    <x v="16"/>
    <x v="16"/>
    <n v="88"/>
    <n v="0"/>
    <n v="88"/>
    <n v="0"/>
    <s v="Pass"/>
    <n v="1"/>
    <n v="9"/>
    <n v="1"/>
    <n v="0"/>
  </r>
  <r>
    <s v="Aeronautical Engineering"/>
    <s v="24BAE027"/>
    <s v="KAUSHAL R J "/>
    <n v="1"/>
    <x v="17"/>
    <x v="17"/>
    <n v="36"/>
    <n v="36"/>
    <n v="72"/>
    <n v="0"/>
    <s v="Pass"/>
    <n v="1"/>
    <n v="7"/>
    <n v="4"/>
    <n v="1"/>
  </r>
  <r>
    <s v="Aeronautical Engineering"/>
    <s v="24BAE027"/>
    <s v="KAUSHAL R J "/>
    <n v="1"/>
    <x v="18"/>
    <x v="18"/>
    <n v="33"/>
    <n v="32"/>
    <n v="65"/>
    <n v="1"/>
    <s v="Pass"/>
    <n v="1"/>
    <n v="7"/>
    <n v="3"/>
    <n v="1"/>
  </r>
  <r>
    <s v="Aeronautical Engineering"/>
    <s v="24BAE027"/>
    <s v="KAUSHAL R J "/>
    <n v="1"/>
    <x v="19"/>
    <x v="19"/>
    <n v="27"/>
    <n v="26"/>
    <n v="53"/>
    <n v="1"/>
    <s v="Pass"/>
    <n v="1"/>
    <n v="6"/>
    <n v="4"/>
    <n v="1"/>
  </r>
  <r>
    <s v="Aeronautical Engineering"/>
    <s v="24BAE028"/>
    <s v="KAUSHIK R "/>
    <n v="2"/>
    <x v="3"/>
    <x v="3"/>
    <n v="23"/>
    <n v="19"/>
    <n v="42"/>
    <n v="4"/>
    <s v="Fail"/>
    <n v="0"/>
    <n v="0"/>
    <n v="1"/>
    <n v="1"/>
  </r>
  <r>
    <s v="Aeronautical Engineering"/>
    <s v="24BAE028"/>
    <s v="KAUSHIK R "/>
    <n v="2"/>
    <x v="0"/>
    <x v="0"/>
    <n v="47"/>
    <n v="24"/>
    <n v="71"/>
    <n v="23"/>
    <s v="Pass"/>
    <n v="1"/>
    <n v="7"/>
    <n v="4"/>
    <n v="1"/>
  </r>
  <r>
    <s v="Aeronautical Engineering"/>
    <s v="24BAE028"/>
    <s v="KAUSHIK R "/>
    <n v="2"/>
    <x v="1"/>
    <x v="1"/>
    <n v="37"/>
    <n v="31"/>
    <n v="68"/>
    <n v="6"/>
    <s v="Pass"/>
    <n v="1"/>
    <n v="7"/>
    <n v="4"/>
    <n v="1"/>
  </r>
  <r>
    <s v="Aeronautical Engineering"/>
    <s v="24BAE028"/>
    <s v="KAUSHIK R "/>
    <n v="2"/>
    <x v="2"/>
    <x v="2"/>
    <n v="83"/>
    <n v="0"/>
    <n v="83"/>
    <n v="0"/>
    <s v="Pass"/>
    <n v="1"/>
    <n v="9"/>
    <n v="1"/>
    <n v="0"/>
  </r>
  <r>
    <s v="Aeronautical Engineering"/>
    <s v="24BAE028"/>
    <s v="KAUSHIK R "/>
    <n v="2"/>
    <x v="4"/>
    <x v="4"/>
    <n v="31"/>
    <n v="33"/>
    <n v="64"/>
    <n v="-2"/>
    <s v="Pass"/>
    <n v="1"/>
    <n v="7"/>
    <n v="2"/>
    <n v="1"/>
  </r>
  <r>
    <s v="Aeronautical Engineering"/>
    <s v="24BAE028"/>
    <s v="KAUSHIK R "/>
    <n v="2"/>
    <x v="44"/>
    <x v="44"/>
    <n v="89"/>
    <n v="0"/>
    <n v="89"/>
    <n v="0"/>
    <s v="Pass"/>
    <n v="1"/>
    <n v="9"/>
    <n v="1"/>
    <n v="0"/>
  </r>
  <r>
    <s v="Aeronautical Engineering"/>
    <s v="24BAE028"/>
    <s v="KAUSHIK R "/>
    <n v="2"/>
    <x v="6"/>
    <x v="6"/>
    <n v="94"/>
    <n v="0"/>
    <n v="94"/>
    <n v="0"/>
    <s v="Pass"/>
    <n v="1"/>
    <n v="10"/>
    <n v="1"/>
    <n v="0"/>
  </r>
  <r>
    <s v="Aeronautical Engineering"/>
    <s v="24BAE028"/>
    <s v="KAUSHIK R "/>
    <n v="2"/>
    <x v="7"/>
    <x v="7"/>
    <n v="37"/>
    <n v="35"/>
    <n v="72"/>
    <n v="2"/>
    <s v="Pass"/>
    <n v="1"/>
    <n v="8"/>
    <n v="4"/>
    <n v="1"/>
  </r>
  <r>
    <s v="Aeronautical Engineering"/>
    <s v="24BAE028"/>
    <s v="KAUSHIK R "/>
    <n v="2"/>
    <x v="8"/>
    <x v="8"/>
    <n v="27"/>
    <n v="47"/>
    <n v="74"/>
    <n v="-20"/>
    <s v="Pass"/>
    <n v="1"/>
    <n v="8"/>
    <n v="3"/>
    <n v="1"/>
  </r>
  <r>
    <s v="Aeronautical Engineering"/>
    <s v="24BAE028"/>
    <s v="KAUSHIK R "/>
    <n v="2"/>
    <x v="9"/>
    <x v="9"/>
    <n v="22"/>
    <n v="35"/>
    <n v="57"/>
    <n v="-13"/>
    <s v="Pass"/>
    <n v="1"/>
    <n v="6"/>
    <n v="3"/>
    <n v="1"/>
  </r>
  <r>
    <s v="Aeronautical Engineering"/>
    <s v="24BAE028"/>
    <s v="KAUSHIK R "/>
    <n v="1"/>
    <x v="10"/>
    <x v="10"/>
    <n v="94"/>
    <n v="0"/>
    <n v="94"/>
    <n v="0"/>
    <s v="Pass"/>
    <n v="1"/>
    <n v="10"/>
    <n v="1"/>
    <n v="0"/>
  </r>
  <r>
    <s v="Aeronautical Engineering"/>
    <s v="24BAE028"/>
    <s v="KAUSHIK R "/>
    <n v="1"/>
    <x v="11"/>
    <x v="11"/>
    <n v="35"/>
    <n v="39"/>
    <n v="74"/>
    <n v="-4"/>
    <s v="Pass"/>
    <n v="1"/>
    <n v="10"/>
    <n v="3"/>
    <n v="1"/>
  </r>
  <r>
    <s v="Aeronautical Engineering"/>
    <s v="24BAE028"/>
    <s v="KAUSHIK R "/>
    <n v="1"/>
    <x v="12"/>
    <x v="12"/>
    <n v="67"/>
    <n v="0"/>
    <n v="67"/>
    <n v="0"/>
    <s v="Pass"/>
    <n v="1"/>
    <n v="7"/>
    <n v="1"/>
    <n v="0"/>
  </r>
  <r>
    <s v="Aeronautical Engineering"/>
    <s v="24BAE028"/>
    <s v="KAUSHIK R "/>
    <n v="1"/>
    <x v="13"/>
    <x v="13"/>
    <n v="26"/>
    <n v="33"/>
    <n v="59"/>
    <n v="-7"/>
    <s v="Pass"/>
    <n v="1"/>
    <n v="6"/>
    <n v="1"/>
    <n v="1"/>
  </r>
  <r>
    <s v="Aeronautical Engineering"/>
    <s v="24BAE028"/>
    <s v="KAUSHIK R "/>
    <n v="1"/>
    <x v="14"/>
    <x v="14"/>
    <n v="65"/>
    <n v="0"/>
    <n v="65"/>
    <n v="0"/>
    <s v="Pass"/>
    <n v="1"/>
    <n v="7"/>
    <n v="1"/>
    <n v="0"/>
  </r>
  <r>
    <s v="Aeronautical Engineering"/>
    <s v="24BAE028"/>
    <s v="KAUSHIK R "/>
    <n v="1"/>
    <x v="15"/>
    <x v="15"/>
    <n v="90"/>
    <n v="0"/>
    <n v="90"/>
    <n v="0"/>
    <s v="Pass"/>
    <n v="1"/>
    <n v="9"/>
    <n v="1"/>
    <n v="0"/>
  </r>
  <r>
    <s v="Aeronautical Engineering"/>
    <s v="24BAE028"/>
    <s v="KAUSHIK R "/>
    <n v="1"/>
    <x v="16"/>
    <x v="16"/>
    <n v="91"/>
    <n v="0"/>
    <n v="91"/>
    <n v="0"/>
    <s v="Pass"/>
    <n v="1"/>
    <n v="10"/>
    <n v="1"/>
    <n v="0"/>
  </r>
  <r>
    <s v="Aeronautical Engineering"/>
    <s v="24BAE028"/>
    <s v="KAUSHIK R "/>
    <n v="1"/>
    <x v="17"/>
    <x v="17"/>
    <n v="47"/>
    <n v="47"/>
    <n v="94"/>
    <n v="0"/>
    <s v="Pass"/>
    <n v="1"/>
    <n v="10"/>
    <n v="4"/>
    <n v="1"/>
  </r>
  <r>
    <s v="Aeronautical Engineering"/>
    <s v="24BAE028"/>
    <s v="KAUSHIK R "/>
    <n v="1"/>
    <x v="18"/>
    <x v="18"/>
    <n v="40"/>
    <n v="35"/>
    <n v="75"/>
    <n v="5"/>
    <s v="Pass"/>
    <n v="1"/>
    <n v="8"/>
    <n v="3"/>
    <n v="1"/>
  </r>
  <r>
    <s v="Aeronautical Engineering"/>
    <s v="24BAE028"/>
    <s v="KAUSHIK R "/>
    <n v="1"/>
    <x v="19"/>
    <x v="19"/>
    <n v="38"/>
    <n v="42"/>
    <n v="80"/>
    <n v="-4"/>
    <s v="Pass"/>
    <n v="1"/>
    <n v="9"/>
    <n v="4"/>
    <n v="1"/>
  </r>
  <r>
    <s v="Aeronautical Engineering"/>
    <s v="24BAE029"/>
    <s v="KEERTHIKA B "/>
    <n v="2"/>
    <x v="0"/>
    <x v="0"/>
    <n v="44"/>
    <n v="35"/>
    <n v="79"/>
    <n v="9"/>
    <s v="Pass"/>
    <n v="1"/>
    <n v="8"/>
    <n v="4"/>
    <n v="1"/>
  </r>
  <r>
    <s v="Aeronautical Engineering"/>
    <s v="24BAE029"/>
    <s v="KEERTHIKA B "/>
    <n v="2"/>
    <x v="1"/>
    <x v="1"/>
    <n v="46"/>
    <n v="38"/>
    <n v="84"/>
    <n v="8"/>
    <s v="Pass"/>
    <n v="1"/>
    <n v="9"/>
    <n v="4"/>
    <n v="1"/>
  </r>
  <r>
    <s v="Aeronautical Engineering"/>
    <s v="24BAE029"/>
    <s v="KEERTHIKA B "/>
    <n v="2"/>
    <x v="2"/>
    <x v="2"/>
    <n v="86"/>
    <n v="0"/>
    <n v="86"/>
    <n v="0"/>
    <s v="Pass"/>
    <n v="1"/>
    <n v="9"/>
    <n v="1"/>
    <n v="0"/>
  </r>
  <r>
    <s v="Aeronautical Engineering"/>
    <s v="24BAE029"/>
    <s v="KEERTHIKA B "/>
    <n v="2"/>
    <x v="3"/>
    <x v="3"/>
    <n v="41"/>
    <n v="37"/>
    <n v="78"/>
    <n v="4"/>
    <s v="Pass"/>
    <n v="1"/>
    <n v="8"/>
    <n v="1"/>
    <n v="1"/>
  </r>
  <r>
    <s v="Aeronautical Engineering"/>
    <s v="24BAE029"/>
    <s v="KEERTHIKA B "/>
    <n v="2"/>
    <x v="4"/>
    <x v="4"/>
    <n v="34"/>
    <n v="41"/>
    <n v="75"/>
    <n v="-7"/>
    <s v="Pass"/>
    <n v="1"/>
    <n v="8"/>
    <n v="2"/>
    <n v="1"/>
  </r>
  <r>
    <s v="Aeronautical Engineering"/>
    <s v="24BAE029"/>
    <s v="KEERTHIKA B "/>
    <n v="2"/>
    <x v="32"/>
    <x v="32"/>
    <n v="93"/>
    <n v="0"/>
    <n v="93"/>
    <n v="0"/>
    <s v="Pass"/>
    <n v="1"/>
    <n v="10"/>
    <n v="1"/>
    <n v="0"/>
  </r>
  <r>
    <s v="Aeronautical Engineering"/>
    <s v="24BAE029"/>
    <s v="KEERTHIKA B "/>
    <n v="2"/>
    <x v="6"/>
    <x v="6"/>
    <n v="94"/>
    <n v="0"/>
    <n v="94"/>
    <n v="0"/>
    <s v="Pass"/>
    <n v="1"/>
    <n v="10"/>
    <n v="1"/>
    <n v="0"/>
  </r>
  <r>
    <s v="Aeronautical Engineering"/>
    <s v="24BAE029"/>
    <s v="KEERTHIKA B "/>
    <n v="2"/>
    <x v="7"/>
    <x v="7"/>
    <n v="46"/>
    <n v="38"/>
    <n v="84"/>
    <n v="8"/>
    <s v="Pass"/>
    <n v="1"/>
    <n v="8"/>
    <n v="4"/>
    <n v="1"/>
  </r>
  <r>
    <s v="Aeronautical Engineering"/>
    <s v="24BAE029"/>
    <s v="KEERTHIKA B "/>
    <n v="2"/>
    <x v="8"/>
    <x v="8"/>
    <n v="32"/>
    <n v="47"/>
    <n v="79"/>
    <n v="-15"/>
    <s v="Pass"/>
    <n v="1"/>
    <n v="8"/>
    <n v="3"/>
    <n v="1"/>
  </r>
  <r>
    <s v="Aeronautical Engineering"/>
    <s v="24BAE029"/>
    <s v="KEERTHIKA B "/>
    <n v="2"/>
    <x v="9"/>
    <x v="9"/>
    <n v="37"/>
    <n v="45"/>
    <n v="82"/>
    <n v="-8"/>
    <s v="Pass"/>
    <n v="1"/>
    <n v="8"/>
    <n v="3"/>
    <n v="1"/>
  </r>
  <r>
    <s v="Aeronautical Engineering"/>
    <s v="24BAE029"/>
    <s v="KEERTHIKA B "/>
    <n v="1"/>
    <x v="10"/>
    <x v="10"/>
    <n v="88"/>
    <n v="0"/>
    <n v="88"/>
    <n v="0"/>
    <s v="Pass"/>
    <n v="1"/>
    <n v="9"/>
    <n v="1"/>
    <n v="0"/>
  </r>
  <r>
    <s v="Aeronautical Engineering"/>
    <s v="24BAE029"/>
    <s v="KEERTHIKA B "/>
    <n v="1"/>
    <x v="11"/>
    <x v="11"/>
    <n v="27"/>
    <n v="42"/>
    <n v="69"/>
    <n v="-15"/>
    <s v="Pass"/>
    <n v="1"/>
    <n v="9"/>
    <n v="3"/>
    <n v="1"/>
  </r>
  <r>
    <s v="Aeronautical Engineering"/>
    <s v="24BAE029"/>
    <s v="KEERTHIKA B "/>
    <n v="1"/>
    <x v="12"/>
    <x v="12"/>
    <n v="83"/>
    <n v="0"/>
    <n v="83"/>
    <n v="0"/>
    <s v="Pass"/>
    <n v="1"/>
    <n v="9"/>
    <n v="1"/>
    <n v="0"/>
  </r>
  <r>
    <s v="Aeronautical Engineering"/>
    <s v="24BAE029"/>
    <s v="KEERTHIKA B "/>
    <n v="1"/>
    <x v="13"/>
    <x v="13"/>
    <n v="32"/>
    <n v="50"/>
    <n v="82"/>
    <n v="-18"/>
    <s v="Pass"/>
    <n v="1"/>
    <n v="9"/>
    <n v="1"/>
    <n v="1"/>
  </r>
  <r>
    <s v="Aeronautical Engineering"/>
    <s v="24BAE029"/>
    <s v="KEERTHIKA B "/>
    <n v="1"/>
    <x v="27"/>
    <x v="27"/>
    <n v="59"/>
    <n v="39"/>
    <n v="98"/>
    <n v="20"/>
    <s v="Pass"/>
    <n v="1"/>
    <n v="10"/>
    <n v="3"/>
    <n v="1"/>
  </r>
  <r>
    <s v="Aeronautical Engineering"/>
    <s v="24BAE029"/>
    <s v="KEERTHIKA B "/>
    <n v="1"/>
    <x v="17"/>
    <x v="17"/>
    <n v="46"/>
    <n v="43"/>
    <n v="89"/>
    <n v="3"/>
    <s v="Pass"/>
    <n v="1"/>
    <n v="9"/>
    <n v="4"/>
    <n v="1"/>
  </r>
  <r>
    <s v="Aeronautical Engineering"/>
    <s v="24BAE029"/>
    <s v="KEERTHIKA B "/>
    <n v="1"/>
    <x v="18"/>
    <x v="18"/>
    <n v="47"/>
    <n v="48"/>
    <n v="95"/>
    <n v="-1"/>
    <s v="Pass"/>
    <n v="1"/>
    <n v="10"/>
    <n v="3"/>
    <n v="1"/>
  </r>
  <r>
    <s v="Aeronautical Engineering"/>
    <s v="24BAE029"/>
    <s v="KEERTHIKA B "/>
    <n v="1"/>
    <x v="19"/>
    <x v="19"/>
    <n v="46"/>
    <n v="41"/>
    <n v="87"/>
    <n v="5"/>
    <s v="Pass"/>
    <n v="1"/>
    <n v="10"/>
    <n v="4"/>
    <n v="1"/>
  </r>
  <r>
    <s v="Aeronautical Engineering"/>
    <s v="24BAE030"/>
    <s v="LOKESHWARN S "/>
    <n v="2"/>
    <x v="0"/>
    <x v="0"/>
    <n v="43"/>
    <n v="25"/>
    <n v="68"/>
    <n v="18"/>
    <s v="Pass"/>
    <n v="1"/>
    <n v="7"/>
    <n v="4"/>
    <n v="1"/>
  </r>
  <r>
    <s v="Aeronautical Engineering"/>
    <s v="24BAE030"/>
    <s v="LOKESHWARN S "/>
    <n v="2"/>
    <x v="1"/>
    <x v="1"/>
    <n v="39"/>
    <n v="25"/>
    <n v="64"/>
    <n v="14"/>
    <s v="Pass"/>
    <n v="1"/>
    <n v="7"/>
    <n v="4"/>
    <n v="1"/>
  </r>
  <r>
    <s v="Aeronautical Engineering"/>
    <s v="24BAE030"/>
    <s v="LOKESHWARN S "/>
    <n v="2"/>
    <x v="2"/>
    <x v="2"/>
    <n v="83"/>
    <n v="0"/>
    <n v="83"/>
    <n v="0"/>
    <s v="Pass"/>
    <n v="1"/>
    <n v="9"/>
    <n v="1"/>
    <n v="0"/>
  </r>
  <r>
    <s v="Aeronautical Engineering"/>
    <s v="24BAE030"/>
    <s v="LOKESHWARN S "/>
    <n v="2"/>
    <x v="3"/>
    <x v="3"/>
    <n v="33"/>
    <n v="31"/>
    <n v="64"/>
    <n v="2"/>
    <s v="Pass"/>
    <n v="1"/>
    <n v="7"/>
    <n v="1"/>
    <n v="1"/>
  </r>
  <r>
    <s v="Aeronautical Engineering"/>
    <s v="24BAE030"/>
    <s v="LOKESHWARN S "/>
    <n v="2"/>
    <x v="4"/>
    <x v="4"/>
    <n v="29"/>
    <n v="30"/>
    <n v="59"/>
    <n v="-1"/>
    <s v="Pass"/>
    <n v="1"/>
    <n v="6"/>
    <n v="2"/>
    <n v="1"/>
  </r>
  <r>
    <s v="Aeronautical Engineering"/>
    <s v="24BAE030"/>
    <s v="LOKESHWARN S "/>
    <n v="2"/>
    <x v="32"/>
    <x v="32"/>
    <n v="91"/>
    <n v="0"/>
    <n v="91"/>
    <n v="0"/>
    <s v="Pass"/>
    <n v="1"/>
    <n v="10"/>
    <n v="1"/>
    <n v="0"/>
  </r>
  <r>
    <s v="Aeronautical Engineering"/>
    <s v="24BAE030"/>
    <s v="LOKESHWARN S "/>
    <n v="2"/>
    <x v="6"/>
    <x v="6"/>
    <n v="94"/>
    <n v="0"/>
    <n v="94"/>
    <n v="0"/>
    <s v="Pass"/>
    <n v="1"/>
    <n v="10"/>
    <n v="1"/>
    <n v="0"/>
  </r>
  <r>
    <s v="Aeronautical Engineering"/>
    <s v="24BAE030"/>
    <s v="LOKESHWARN S "/>
    <n v="2"/>
    <x v="7"/>
    <x v="7"/>
    <n v="40"/>
    <n v="23"/>
    <n v="63"/>
    <n v="17"/>
    <s v="Pass"/>
    <n v="1"/>
    <n v="7"/>
    <n v="4"/>
    <n v="1"/>
  </r>
  <r>
    <s v="Aeronautical Engineering"/>
    <s v="24BAE030"/>
    <s v="LOKESHWARN S "/>
    <n v="2"/>
    <x v="8"/>
    <x v="8"/>
    <n v="23"/>
    <n v="38"/>
    <n v="61"/>
    <n v="-15"/>
    <s v="Pass"/>
    <n v="1"/>
    <n v="6"/>
    <n v="3"/>
    <n v="1"/>
  </r>
  <r>
    <s v="Aeronautical Engineering"/>
    <s v="24BAE030"/>
    <s v="LOKESHWARN S "/>
    <n v="2"/>
    <x v="9"/>
    <x v="9"/>
    <n v="26"/>
    <n v="31"/>
    <n v="57"/>
    <n v="-5"/>
    <s v="Pass"/>
    <n v="1"/>
    <n v="6"/>
    <n v="3"/>
    <n v="1"/>
  </r>
  <r>
    <s v="Aeronautical Engineering"/>
    <s v="24BAE030"/>
    <s v="LOKESHWARN S "/>
    <n v="1"/>
    <x v="10"/>
    <x v="10"/>
    <n v="88"/>
    <n v="0"/>
    <n v="88"/>
    <n v="0"/>
    <s v="Pass"/>
    <n v="1"/>
    <n v="9"/>
    <n v="1"/>
    <n v="0"/>
  </r>
  <r>
    <s v="Aeronautical Engineering"/>
    <s v="24BAE030"/>
    <s v="LOKESHWARN S "/>
    <n v="1"/>
    <x v="11"/>
    <x v="11"/>
    <n v="24"/>
    <n v="32"/>
    <n v="56"/>
    <n v="-8"/>
    <s v="Pass"/>
    <n v="1"/>
    <n v="7"/>
    <n v="3"/>
    <n v="1"/>
  </r>
  <r>
    <s v="Aeronautical Engineering"/>
    <s v="24BAE030"/>
    <s v="LOKESHWARN S "/>
    <n v="1"/>
    <x v="12"/>
    <x v="12"/>
    <n v="78"/>
    <n v="0"/>
    <n v="78"/>
    <n v="0"/>
    <s v="Pass"/>
    <n v="1"/>
    <n v="8"/>
    <n v="1"/>
    <n v="0"/>
  </r>
  <r>
    <s v="Aeronautical Engineering"/>
    <s v="24BAE030"/>
    <s v="LOKESHWARN S "/>
    <n v="1"/>
    <x v="13"/>
    <x v="13"/>
    <n v="26"/>
    <n v="41"/>
    <n v="67"/>
    <n v="-15"/>
    <s v="Pass"/>
    <n v="1"/>
    <n v="7"/>
    <n v="1"/>
    <n v="1"/>
  </r>
  <r>
    <s v="Aeronautical Engineering"/>
    <s v="24BAE030"/>
    <s v="LOKESHWARN S "/>
    <n v="1"/>
    <x v="24"/>
    <x v="24"/>
    <n v="92"/>
    <n v="0"/>
    <n v="92"/>
    <n v="0"/>
    <s v="Pass"/>
    <n v="1"/>
    <n v="10"/>
    <n v="1"/>
    <n v="0"/>
  </r>
  <r>
    <s v="Aeronautical Engineering"/>
    <s v="24BAE030"/>
    <s v="LOKESHWARN S "/>
    <n v="1"/>
    <x v="15"/>
    <x v="15"/>
    <n v="90"/>
    <n v="0"/>
    <n v="90"/>
    <n v="0"/>
    <s v="Pass"/>
    <n v="1"/>
    <n v="9"/>
    <n v="1"/>
    <n v="0"/>
  </r>
  <r>
    <s v="Aeronautical Engineering"/>
    <s v="24BAE030"/>
    <s v="LOKESHWARN S "/>
    <n v="1"/>
    <x v="16"/>
    <x v="16"/>
    <n v="80"/>
    <n v="0"/>
    <n v="80"/>
    <n v="0"/>
    <s v="Pass"/>
    <n v="1"/>
    <n v="8"/>
    <n v="1"/>
    <n v="0"/>
  </r>
  <r>
    <s v="Aeronautical Engineering"/>
    <s v="24BAE030"/>
    <s v="LOKESHWARN S "/>
    <n v="1"/>
    <x v="17"/>
    <x v="17"/>
    <n v="38"/>
    <n v="36"/>
    <n v="74"/>
    <n v="2"/>
    <s v="Pass"/>
    <n v="1"/>
    <n v="8"/>
    <n v="4"/>
    <n v="1"/>
  </r>
  <r>
    <s v="Aeronautical Engineering"/>
    <s v="24BAE030"/>
    <s v="LOKESHWARN S "/>
    <n v="1"/>
    <x v="18"/>
    <x v="18"/>
    <n v="40"/>
    <n v="29"/>
    <n v="69"/>
    <n v="11"/>
    <s v="Pass"/>
    <n v="1"/>
    <n v="7"/>
    <n v="3"/>
    <n v="1"/>
  </r>
  <r>
    <s v="Aeronautical Engineering"/>
    <s v="24BAE030"/>
    <s v="LOKESHWARN S "/>
    <n v="1"/>
    <x v="19"/>
    <x v="19"/>
    <n v="34"/>
    <n v="33"/>
    <n v="67"/>
    <n v="1"/>
    <s v="Pass"/>
    <n v="1"/>
    <n v="8"/>
    <n v="4"/>
    <n v="1"/>
  </r>
  <r>
    <s v="Aeronautical Engineering"/>
    <s v="24BAE033"/>
    <s v="M MIDHUN KUMAR "/>
    <n v="2"/>
    <x v="1"/>
    <x v="1"/>
    <n v="39"/>
    <n v="10"/>
    <n v="49"/>
    <n v="29"/>
    <s v="Fail"/>
    <n v="0"/>
    <n v="0"/>
    <n v="4"/>
    <n v="1"/>
  </r>
  <r>
    <s v="Aeronautical Engineering"/>
    <s v="24BAE033"/>
    <s v="M MIDHUN KUMAR "/>
    <n v="2"/>
    <x v="7"/>
    <x v="7"/>
    <n v="41"/>
    <n v="11"/>
    <n v="52"/>
    <n v="30"/>
    <s v="Fail"/>
    <n v="0"/>
    <n v="0"/>
    <n v="4"/>
    <n v="1"/>
  </r>
  <r>
    <s v="Aeronautical Engineering"/>
    <s v="24BAE033"/>
    <s v="M MIDHUN KUMAR "/>
    <n v="2"/>
    <x v="0"/>
    <x v="0"/>
    <n v="45"/>
    <n v="39"/>
    <n v="84"/>
    <n v="6"/>
    <s v="Pass"/>
    <n v="1"/>
    <n v="8"/>
    <n v="4"/>
    <n v="1"/>
  </r>
  <r>
    <s v="Aeronautical Engineering"/>
    <s v="24BAE033"/>
    <s v="M MIDHUN KUMAR "/>
    <n v="2"/>
    <x v="11"/>
    <x v="11"/>
    <n v="19"/>
    <n v="34"/>
    <n v="53"/>
    <n v="-15"/>
    <s v="Pass"/>
    <n v="1"/>
    <n v="6"/>
    <n v="3"/>
    <n v="1"/>
  </r>
  <r>
    <s v="Aeronautical Engineering"/>
    <s v="24BAE033"/>
    <s v="M MIDHUN KUMAR "/>
    <n v="2"/>
    <x v="2"/>
    <x v="2"/>
    <n v="80"/>
    <n v="0"/>
    <n v="80"/>
    <n v="0"/>
    <s v="Pass"/>
    <n v="1"/>
    <n v="8"/>
    <n v="1"/>
    <n v="0"/>
  </r>
  <r>
    <s v="Aeronautical Engineering"/>
    <s v="24BAE033"/>
    <s v="M MIDHUN KUMAR "/>
    <n v="2"/>
    <x v="3"/>
    <x v="3"/>
    <n v="36"/>
    <n v="30"/>
    <n v="66"/>
    <n v="6"/>
    <s v="Pass"/>
    <n v="1"/>
    <n v="7"/>
    <n v="1"/>
    <n v="1"/>
  </r>
  <r>
    <s v="Aeronautical Engineering"/>
    <s v="24BAE033"/>
    <s v="M MIDHUN KUMAR "/>
    <n v="2"/>
    <x v="20"/>
    <x v="20"/>
    <n v="35"/>
    <n v="37"/>
    <n v="72"/>
    <n v="-2"/>
    <s v="Pass"/>
    <n v="1"/>
    <n v="8"/>
    <n v="2"/>
    <n v="1"/>
  </r>
  <r>
    <s v="Aeronautical Engineering"/>
    <s v="24BAE033"/>
    <s v="M MIDHUN KUMAR "/>
    <n v="2"/>
    <x v="44"/>
    <x v="44"/>
    <n v="97"/>
    <n v="0"/>
    <n v="97"/>
    <n v="0"/>
    <s v="Pass"/>
    <n v="1"/>
    <n v="10"/>
    <n v="1"/>
    <n v="0"/>
  </r>
  <r>
    <s v="Aeronautical Engineering"/>
    <s v="24BAE033"/>
    <s v="M MIDHUN KUMAR "/>
    <n v="2"/>
    <x v="6"/>
    <x v="6"/>
    <n v="96"/>
    <n v="0"/>
    <n v="96"/>
    <n v="0"/>
    <s v="Pass"/>
    <n v="1"/>
    <n v="10"/>
    <n v="1"/>
    <n v="0"/>
  </r>
  <r>
    <s v="Aeronautical Engineering"/>
    <s v="24BAE033"/>
    <s v="M MIDHUN KUMAR "/>
    <n v="2"/>
    <x v="8"/>
    <x v="8"/>
    <n v="20"/>
    <n v="30"/>
    <n v="50"/>
    <n v="-10"/>
    <s v="Pass"/>
    <n v="1"/>
    <n v="5"/>
    <n v="3"/>
    <n v="1"/>
  </r>
  <r>
    <s v="Aeronautical Engineering"/>
    <s v="24BAE033"/>
    <s v="M MIDHUN KUMAR "/>
    <n v="2"/>
    <x v="9"/>
    <x v="9"/>
    <n v="30"/>
    <n v="35"/>
    <n v="65"/>
    <n v="-5"/>
    <s v="Pass"/>
    <n v="1"/>
    <n v="7"/>
    <n v="3"/>
    <n v="1"/>
  </r>
  <r>
    <s v="Aeronautical Engineering"/>
    <s v="24BAE033"/>
    <s v="M MIDHUN KUMAR "/>
    <n v="1"/>
    <x v="10"/>
    <x v="10"/>
    <n v="97"/>
    <n v="0"/>
    <n v="97"/>
    <n v="0"/>
    <s v="Pass"/>
    <n v="1"/>
    <n v="10"/>
    <n v="1"/>
    <n v="0"/>
  </r>
  <r>
    <s v="Aeronautical Engineering"/>
    <s v="24BAE033"/>
    <s v="M MIDHUN KUMAR "/>
    <n v="1"/>
    <x v="11"/>
    <x v="11"/>
    <n v="19"/>
    <n v="18"/>
    <n v="37"/>
    <n v="1"/>
    <s v="Fail"/>
    <n v="0"/>
    <n v="0"/>
    <n v="3"/>
    <n v="1"/>
  </r>
  <r>
    <s v="Aeronautical Engineering"/>
    <s v="24BAE033"/>
    <s v="M MIDHUN KUMAR "/>
    <n v="1"/>
    <x v="12"/>
    <x v="12"/>
    <n v="76"/>
    <n v="0"/>
    <n v="76"/>
    <n v="0"/>
    <s v="Pass"/>
    <n v="1"/>
    <n v="8"/>
    <n v="1"/>
    <n v="0"/>
  </r>
  <r>
    <s v="Aeronautical Engineering"/>
    <s v="24BAE033"/>
    <s v="M MIDHUN KUMAR "/>
    <n v="1"/>
    <x v="13"/>
    <x v="13"/>
    <n v="30"/>
    <n v="48"/>
    <n v="78"/>
    <n v="-18"/>
    <s v="Pass"/>
    <n v="1"/>
    <n v="8"/>
    <n v="1"/>
    <n v="1"/>
  </r>
  <r>
    <s v="Aeronautical Engineering"/>
    <s v="24BAE033"/>
    <s v="M MIDHUN KUMAR "/>
    <n v="1"/>
    <x v="45"/>
    <x v="45"/>
    <n v="81"/>
    <n v="0"/>
    <n v="81"/>
    <n v="0"/>
    <s v="Pass"/>
    <n v="1"/>
    <n v="9"/>
    <n v="1"/>
    <n v="0"/>
  </r>
  <r>
    <s v="Aeronautical Engineering"/>
    <s v="24BAE033"/>
    <s v="M MIDHUN KUMAR "/>
    <n v="1"/>
    <x v="15"/>
    <x v="15"/>
    <n v="100"/>
    <n v="0"/>
    <n v="100"/>
    <n v="0"/>
    <s v="Pass"/>
    <n v="1"/>
    <n v="10"/>
    <n v="1"/>
    <n v="0"/>
  </r>
  <r>
    <s v="Aeronautical Engineering"/>
    <s v="24BAE033"/>
    <s v="M MIDHUN KUMAR "/>
    <n v="1"/>
    <x v="16"/>
    <x v="16"/>
    <n v="93"/>
    <n v="0"/>
    <n v="93"/>
    <n v="0"/>
    <s v="Pass"/>
    <n v="1"/>
    <n v="10"/>
    <n v="1"/>
    <n v="0"/>
  </r>
  <r>
    <s v="Aeronautical Engineering"/>
    <s v="24BAE033"/>
    <s v="M MIDHUN KUMAR "/>
    <n v="1"/>
    <x v="17"/>
    <x v="17"/>
    <n v="42"/>
    <n v="37"/>
    <n v="79"/>
    <n v="5"/>
    <s v="Pass"/>
    <n v="1"/>
    <n v="8"/>
    <n v="4"/>
    <n v="1"/>
  </r>
  <r>
    <s v="Aeronautical Engineering"/>
    <s v="24BAE033"/>
    <s v="M MIDHUN KUMAR "/>
    <n v="1"/>
    <x v="18"/>
    <x v="18"/>
    <n v="34"/>
    <n v="31"/>
    <n v="65"/>
    <n v="3"/>
    <s v="Pass"/>
    <n v="1"/>
    <n v="7"/>
    <n v="3"/>
    <n v="1"/>
  </r>
  <r>
    <s v="Aeronautical Engineering"/>
    <s v="24BAE033"/>
    <s v="M MIDHUN KUMAR "/>
    <n v="1"/>
    <x v="19"/>
    <x v="19"/>
    <n v="34"/>
    <n v="27"/>
    <n v="61"/>
    <n v="7"/>
    <s v="Pass"/>
    <n v="1"/>
    <n v="7"/>
    <n v="4"/>
    <n v="1"/>
  </r>
  <r>
    <s v="Aeronautical Engineering"/>
    <s v="24BAE031"/>
    <s v="MADURYA KALICHAMY "/>
    <n v="2"/>
    <x v="0"/>
    <x v="0"/>
    <n v="44"/>
    <n v="30"/>
    <n v="74"/>
    <n v="14"/>
    <s v="Pass"/>
    <n v="1"/>
    <n v="8"/>
    <n v="4"/>
    <n v="1"/>
  </r>
  <r>
    <s v="Aeronautical Engineering"/>
    <s v="24BAE031"/>
    <s v="MADURYA KALICHAMY "/>
    <n v="2"/>
    <x v="1"/>
    <x v="1"/>
    <n v="36"/>
    <n v="24"/>
    <n v="60"/>
    <n v="12"/>
    <s v="Pass"/>
    <n v="1"/>
    <n v="6"/>
    <n v="4"/>
    <n v="1"/>
  </r>
  <r>
    <s v="Aeronautical Engineering"/>
    <s v="24BAE031"/>
    <s v="MADURYA KALICHAMY "/>
    <n v="2"/>
    <x v="2"/>
    <x v="2"/>
    <n v="80"/>
    <n v="0"/>
    <n v="80"/>
    <n v="0"/>
    <s v="Pass"/>
    <n v="1"/>
    <n v="8"/>
    <n v="1"/>
    <n v="0"/>
  </r>
  <r>
    <s v="Aeronautical Engineering"/>
    <s v="24BAE031"/>
    <s v="MADURYA KALICHAMY "/>
    <n v="2"/>
    <x v="3"/>
    <x v="3"/>
    <n v="37"/>
    <n v="33"/>
    <n v="70"/>
    <n v="4"/>
    <s v="Pass"/>
    <n v="1"/>
    <n v="7"/>
    <n v="1"/>
    <n v="1"/>
  </r>
  <r>
    <s v="Aeronautical Engineering"/>
    <s v="24BAE031"/>
    <s v="MADURYA KALICHAMY "/>
    <n v="2"/>
    <x v="4"/>
    <x v="4"/>
    <n v="33"/>
    <n v="29"/>
    <n v="62"/>
    <n v="4"/>
    <s v="Pass"/>
    <n v="1"/>
    <n v="7"/>
    <n v="2"/>
    <n v="1"/>
  </r>
  <r>
    <s v="Aeronautical Engineering"/>
    <s v="24BAE031"/>
    <s v="MADURYA KALICHAMY "/>
    <n v="2"/>
    <x v="46"/>
    <x v="46"/>
    <n v="88"/>
    <n v="0"/>
    <n v="88"/>
    <n v="0"/>
    <s v="Pass"/>
    <n v="1"/>
    <n v="9"/>
    <n v="1"/>
    <n v="0"/>
  </r>
  <r>
    <s v="Aeronautical Engineering"/>
    <s v="24BAE031"/>
    <s v="MADURYA KALICHAMY "/>
    <n v="2"/>
    <x v="6"/>
    <x v="6"/>
    <n v="96"/>
    <n v="0"/>
    <n v="96"/>
    <n v="0"/>
    <s v="Pass"/>
    <n v="1"/>
    <n v="10"/>
    <n v="1"/>
    <n v="0"/>
  </r>
  <r>
    <s v="Aeronautical Engineering"/>
    <s v="24BAE031"/>
    <s v="MADURYA KALICHAMY "/>
    <n v="2"/>
    <x v="7"/>
    <x v="7"/>
    <n v="37"/>
    <n v="30"/>
    <n v="67"/>
    <n v="7"/>
    <s v="Pass"/>
    <n v="1"/>
    <n v="7"/>
    <n v="4"/>
    <n v="1"/>
  </r>
  <r>
    <s v="Aeronautical Engineering"/>
    <s v="24BAE031"/>
    <s v="MADURYA KALICHAMY "/>
    <n v="2"/>
    <x v="8"/>
    <x v="8"/>
    <n v="20"/>
    <n v="47"/>
    <n v="67"/>
    <n v="-27"/>
    <s v="Pass"/>
    <n v="1"/>
    <n v="7"/>
    <n v="3"/>
    <n v="1"/>
  </r>
  <r>
    <s v="Aeronautical Engineering"/>
    <s v="24BAE031"/>
    <s v="MADURYA KALICHAMY "/>
    <n v="2"/>
    <x v="9"/>
    <x v="9"/>
    <n v="32"/>
    <n v="40"/>
    <n v="72"/>
    <n v="-8"/>
    <s v="Pass"/>
    <n v="1"/>
    <n v="8"/>
    <n v="3"/>
    <n v="1"/>
  </r>
  <r>
    <s v="Aeronautical Engineering"/>
    <s v="24BAE031"/>
    <s v="MADURYA KALICHAMY "/>
    <n v="1"/>
    <x v="10"/>
    <x v="10"/>
    <n v="72"/>
    <n v="0"/>
    <n v="72"/>
    <n v="0"/>
    <s v="Pass"/>
    <n v="1"/>
    <n v="8"/>
    <n v="1"/>
    <n v="0"/>
  </r>
  <r>
    <s v="Aeronautical Engineering"/>
    <s v="24BAE031"/>
    <s v="MADURYA KALICHAMY "/>
    <n v="1"/>
    <x v="11"/>
    <x v="11"/>
    <n v="14"/>
    <n v="36"/>
    <n v="50"/>
    <n v="-22"/>
    <s v="Pass"/>
    <n v="1"/>
    <n v="5"/>
    <n v="3"/>
    <n v="1"/>
  </r>
  <r>
    <s v="Aeronautical Engineering"/>
    <s v="24BAE031"/>
    <s v="MADURYA KALICHAMY "/>
    <n v="1"/>
    <x v="12"/>
    <x v="12"/>
    <n v="83"/>
    <n v="0"/>
    <n v="83"/>
    <n v="0"/>
    <s v="Pass"/>
    <n v="1"/>
    <n v="9"/>
    <n v="1"/>
    <n v="0"/>
  </r>
  <r>
    <s v="Aeronautical Engineering"/>
    <s v="24BAE031"/>
    <s v="MADURYA KALICHAMY "/>
    <n v="1"/>
    <x v="13"/>
    <x v="13"/>
    <n v="26"/>
    <n v="37"/>
    <n v="63"/>
    <n v="-11"/>
    <s v="Pass"/>
    <n v="1"/>
    <n v="7"/>
    <n v="1"/>
    <n v="1"/>
  </r>
  <r>
    <s v="Aeronautical Engineering"/>
    <s v="24BAE031"/>
    <s v="MADURYA KALICHAMY "/>
    <n v="1"/>
    <x v="27"/>
    <x v="27"/>
    <n v="58"/>
    <n v="38"/>
    <n v="96"/>
    <n v="20"/>
    <s v="Pass"/>
    <n v="1"/>
    <n v="10"/>
    <n v="3"/>
    <n v="1"/>
  </r>
  <r>
    <s v="Aeronautical Engineering"/>
    <s v="24BAE031"/>
    <s v="MADURYA KALICHAMY "/>
    <n v="1"/>
    <x v="17"/>
    <x v="17"/>
    <n v="43"/>
    <n v="35"/>
    <n v="78"/>
    <n v="8"/>
    <s v="Pass"/>
    <n v="1"/>
    <n v="8"/>
    <n v="4"/>
    <n v="1"/>
  </r>
  <r>
    <s v="Aeronautical Engineering"/>
    <s v="24BAE031"/>
    <s v="MADURYA KALICHAMY "/>
    <n v="1"/>
    <x v="18"/>
    <x v="18"/>
    <n v="43"/>
    <n v="37"/>
    <n v="80"/>
    <n v="6"/>
    <s v="Pass"/>
    <n v="1"/>
    <n v="8"/>
    <n v="3"/>
    <n v="1"/>
  </r>
  <r>
    <s v="Aeronautical Engineering"/>
    <s v="24BAE031"/>
    <s v="MADURYA KALICHAMY "/>
    <n v="1"/>
    <x v="19"/>
    <x v="19"/>
    <n v="33"/>
    <n v="31"/>
    <n v="64"/>
    <n v="2"/>
    <s v="Pass"/>
    <n v="1"/>
    <n v="7"/>
    <n v="4"/>
    <n v="1"/>
  </r>
  <r>
    <s v="Aeronautical Engineering"/>
    <s v="24BAE032"/>
    <s v="MANISHA P "/>
    <n v="2"/>
    <x v="1"/>
    <x v="1"/>
    <n v="41"/>
    <n v="15"/>
    <n v="56"/>
    <n v="26"/>
    <s v="Fail"/>
    <n v="0"/>
    <n v="0"/>
    <n v="4"/>
    <n v="1"/>
  </r>
  <r>
    <s v="Aeronautical Engineering"/>
    <s v="24BAE032"/>
    <s v="MANISHA P "/>
    <n v="2"/>
    <x v="7"/>
    <x v="7"/>
    <n v="29"/>
    <n v="14"/>
    <n v="43"/>
    <n v="15"/>
    <s v="Fail"/>
    <n v="0"/>
    <n v="0"/>
    <n v="4"/>
    <n v="1"/>
  </r>
  <r>
    <s v="Aeronautical Engineering"/>
    <s v="24BAE032"/>
    <s v="MANISHA P "/>
    <n v="2"/>
    <x v="0"/>
    <x v="0"/>
    <n v="45"/>
    <n v="32"/>
    <n v="77"/>
    <n v="13"/>
    <s v="Pass"/>
    <n v="1"/>
    <n v="8"/>
    <n v="4"/>
    <n v="1"/>
  </r>
  <r>
    <s v="Aeronautical Engineering"/>
    <s v="24BAE032"/>
    <s v="MANISHA P "/>
    <n v="2"/>
    <x v="11"/>
    <x v="11"/>
    <n v="11"/>
    <n v="39"/>
    <n v="50"/>
    <n v="-28"/>
    <s v="Pass"/>
    <n v="1"/>
    <n v="5"/>
    <n v="3"/>
    <n v="1"/>
  </r>
  <r>
    <s v="Aeronautical Engineering"/>
    <s v="24BAE032"/>
    <s v="MANISHA P "/>
    <n v="2"/>
    <x v="2"/>
    <x v="2"/>
    <n v="51"/>
    <n v="0"/>
    <n v="51"/>
    <n v="0"/>
    <s v="Pass"/>
    <n v="1"/>
    <n v="5"/>
    <n v="1"/>
    <n v="0"/>
  </r>
  <r>
    <s v="Aeronautical Engineering"/>
    <s v="24BAE032"/>
    <s v="MANISHA P "/>
    <n v="2"/>
    <x v="3"/>
    <x v="3"/>
    <n v="34"/>
    <n v="29"/>
    <n v="63"/>
    <n v="5"/>
    <s v="Pass"/>
    <n v="1"/>
    <n v="7"/>
    <n v="1"/>
    <n v="1"/>
  </r>
  <r>
    <s v="Aeronautical Engineering"/>
    <s v="24BAE032"/>
    <s v="MANISHA P "/>
    <n v="2"/>
    <x v="20"/>
    <x v="20"/>
    <n v="36"/>
    <n v="43"/>
    <n v="79"/>
    <n v="-7"/>
    <s v="Pass"/>
    <n v="1"/>
    <n v="8"/>
    <n v="2"/>
    <n v="1"/>
  </r>
  <r>
    <s v="Aeronautical Engineering"/>
    <s v="24BAE032"/>
    <s v="MANISHA P "/>
    <n v="2"/>
    <x v="35"/>
    <x v="35"/>
    <n v="88"/>
    <n v="0"/>
    <n v="88"/>
    <n v="0"/>
    <s v="Pass"/>
    <n v="1"/>
    <n v="9"/>
    <n v="1"/>
    <n v="0"/>
  </r>
  <r>
    <s v="Aeronautical Engineering"/>
    <s v="24BAE032"/>
    <s v="MANISHA P "/>
    <n v="2"/>
    <x v="6"/>
    <x v="6"/>
    <n v="96"/>
    <n v="0"/>
    <n v="96"/>
    <n v="0"/>
    <s v="Pass"/>
    <n v="1"/>
    <n v="10"/>
    <n v="1"/>
    <n v="0"/>
  </r>
  <r>
    <s v="Aeronautical Engineering"/>
    <s v="24BAE032"/>
    <s v="MANISHA P "/>
    <n v="2"/>
    <x v="8"/>
    <x v="8"/>
    <n v="24"/>
    <n v="40"/>
    <n v="64"/>
    <n v="-16"/>
    <s v="Pass"/>
    <n v="1"/>
    <n v="6"/>
    <n v="3"/>
    <n v="1"/>
  </r>
  <r>
    <s v="Aeronautical Engineering"/>
    <s v="24BAE032"/>
    <s v="MANISHA P "/>
    <n v="2"/>
    <x v="9"/>
    <x v="9"/>
    <n v="31"/>
    <n v="46"/>
    <n v="77"/>
    <n v="-15"/>
    <s v="Pass"/>
    <n v="1"/>
    <n v="8"/>
    <n v="3"/>
    <n v="1"/>
  </r>
  <r>
    <s v="Aeronautical Engineering"/>
    <s v="24BAE032"/>
    <s v="MANISHA P "/>
    <n v="1"/>
    <x v="10"/>
    <x v="10"/>
    <n v="90"/>
    <n v="0"/>
    <n v="90"/>
    <n v="0"/>
    <s v="Pass"/>
    <n v="1"/>
    <n v="9"/>
    <n v="1"/>
    <n v="0"/>
  </r>
  <r>
    <s v="Aeronautical Engineering"/>
    <s v="24BAE032"/>
    <s v="MANISHA P "/>
    <n v="1"/>
    <x v="11"/>
    <x v="11"/>
    <n v="11"/>
    <n v="0"/>
    <n v="0"/>
    <n v="0"/>
    <s v="SA"/>
    <n v="0"/>
    <n v="0"/>
    <n v="3"/>
    <n v="0"/>
  </r>
  <r>
    <s v="Aeronautical Engineering"/>
    <s v="24BAE032"/>
    <s v="MANISHA P "/>
    <n v="1"/>
    <x v="12"/>
    <x v="12"/>
    <n v="64"/>
    <n v="0"/>
    <n v="64"/>
    <n v="0"/>
    <s v="Pass"/>
    <n v="1"/>
    <n v="7"/>
    <n v="1"/>
    <n v="0"/>
  </r>
  <r>
    <s v="Aeronautical Engineering"/>
    <s v="24BAE032"/>
    <s v="MANISHA P "/>
    <n v="1"/>
    <x v="13"/>
    <x v="13"/>
    <n v="27"/>
    <n v="42"/>
    <n v="69"/>
    <n v="-15"/>
    <s v="Pass"/>
    <n v="1"/>
    <n v="7"/>
    <n v="1"/>
    <n v="1"/>
  </r>
  <r>
    <s v="Aeronautical Engineering"/>
    <s v="24BAE032"/>
    <s v="MANISHA P "/>
    <n v="1"/>
    <x v="21"/>
    <x v="21"/>
    <n v="61"/>
    <n v="0"/>
    <n v="61"/>
    <n v="0"/>
    <s v="Pass"/>
    <n v="1"/>
    <n v="7"/>
    <n v="1"/>
    <n v="0"/>
  </r>
  <r>
    <s v="Aeronautical Engineering"/>
    <s v="24BAE032"/>
    <s v="MANISHA P "/>
    <n v="1"/>
    <x v="15"/>
    <x v="15"/>
    <n v="95"/>
    <n v="0"/>
    <n v="95"/>
    <n v="0"/>
    <s v="Pass"/>
    <n v="1"/>
    <n v="10"/>
    <n v="1"/>
    <n v="0"/>
  </r>
  <r>
    <s v="Aeronautical Engineering"/>
    <s v="24BAE032"/>
    <s v="MANISHA P "/>
    <n v="1"/>
    <x v="16"/>
    <x v="16"/>
    <n v="81"/>
    <n v="0"/>
    <n v="81"/>
    <n v="0"/>
    <s v="Pass"/>
    <n v="1"/>
    <n v="9"/>
    <n v="1"/>
    <n v="0"/>
  </r>
  <r>
    <s v="Aeronautical Engineering"/>
    <s v="24BAE032"/>
    <s v="MANISHA P "/>
    <n v="1"/>
    <x v="17"/>
    <x v="17"/>
    <n v="35"/>
    <n v="30"/>
    <n v="65"/>
    <n v="5"/>
    <s v="Pass"/>
    <n v="1"/>
    <n v="7"/>
    <n v="4"/>
    <n v="1"/>
  </r>
  <r>
    <s v="Aeronautical Engineering"/>
    <s v="24BAE032"/>
    <s v="MANISHA P "/>
    <n v="1"/>
    <x v="18"/>
    <x v="18"/>
    <n v="29"/>
    <n v="41"/>
    <n v="70"/>
    <n v="-12"/>
    <s v="Pass"/>
    <n v="1"/>
    <n v="7"/>
    <n v="3"/>
    <n v="1"/>
  </r>
  <r>
    <s v="Aeronautical Engineering"/>
    <s v="24BAE032"/>
    <s v="MANISHA P "/>
    <n v="1"/>
    <x v="19"/>
    <x v="19"/>
    <n v="31"/>
    <n v="25"/>
    <n v="56"/>
    <n v="6"/>
    <s v="Pass"/>
    <n v="1"/>
    <n v="6"/>
    <n v="4"/>
    <n v="1"/>
  </r>
  <r>
    <s v="Aeronautical Engineering"/>
    <s v="24BAE034"/>
    <s v="NANDHAKISHORE S "/>
    <n v="2"/>
    <x v="0"/>
    <x v="0"/>
    <n v="47"/>
    <n v="41"/>
    <n v="88"/>
    <n v="6"/>
    <s v="Pass"/>
    <n v="1"/>
    <n v="8"/>
    <n v="4"/>
    <n v="1"/>
  </r>
  <r>
    <s v="Aeronautical Engineering"/>
    <s v="24BAE034"/>
    <s v="NANDHAKISHORE S "/>
    <n v="2"/>
    <x v="1"/>
    <x v="1"/>
    <n v="43"/>
    <n v="24"/>
    <n v="67"/>
    <n v="19"/>
    <s v="Pass"/>
    <n v="1"/>
    <n v="7"/>
    <n v="4"/>
    <n v="1"/>
  </r>
  <r>
    <s v="Aeronautical Engineering"/>
    <s v="24BAE034"/>
    <s v="NANDHAKISHORE S "/>
    <n v="2"/>
    <x v="2"/>
    <x v="2"/>
    <n v="86"/>
    <n v="0"/>
    <n v="86"/>
    <n v="0"/>
    <s v="Pass"/>
    <n v="1"/>
    <n v="9"/>
    <n v="1"/>
    <n v="0"/>
  </r>
  <r>
    <s v="Aeronautical Engineering"/>
    <s v="24BAE034"/>
    <s v="NANDHAKISHORE S "/>
    <n v="2"/>
    <x v="3"/>
    <x v="3"/>
    <n v="47"/>
    <n v="28"/>
    <n v="75"/>
    <n v="19"/>
    <s v="Pass"/>
    <n v="1"/>
    <n v="8"/>
    <n v="1"/>
    <n v="1"/>
  </r>
  <r>
    <s v="Aeronautical Engineering"/>
    <s v="24BAE034"/>
    <s v="NANDHAKISHORE S "/>
    <n v="2"/>
    <x v="4"/>
    <x v="4"/>
    <n v="31"/>
    <n v="42"/>
    <n v="73"/>
    <n v="-11"/>
    <s v="Pass"/>
    <n v="1"/>
    <n v="7"/>
    <n v="2"/>
    <n v="1"/>
  </r>
  <r>
    <s v="Aeronautical Engineering"/>
    <s v="24BAE034"/>
    <s v="NANDHAKISHORE S "/>
    <n v="2"/>
    <x v="44"/>
    <x v="44"/>
    <n v="96"/>
    <n v="0"/>
    <n v="96"/>
    <n v="0"/>
    <s v="Pass"/>
    <n v="1"/>
    <n v="10"/>
    <n v="1"/>
    <n v="0"/>
  </r>
  <r>
    <s v="Aeronautical Engineering"/>
    <s v="24BAE034"/>
    <s v="NANDHAKISHORE S "/>
    <n v="2"/>
    <x v="6"/>
    <x v="6"/>
    <n v="96"/>
    <n v="0"/>
    <n v="96"/>
    <n v="0"/>
    <s v="Pass"/>
    <n v="1"/>
    <n v="10"/>
    <n v="1"/>
    <n v="0"/>
  </r>
  <r>
    <s v="Aeronautical Engineering"/>
    <s v="24BAE034"/>
    <s v="NANDHAKISHORE S "/>
    <n v="2"/>
    <x v="7"/>
    <x v="7"/>
    <n v="47"/>
    <n v="31"/>
    <n v="78"/>
    <n v="16"/>
    <s v="Pass"/>
    <n v="1"/>
    <n v="8"/>
    <n v="4"/>
    <n v="1"/>
  </r>
  <r>
    <s v="Aeronautical Engineering"/>
    <s v="24BAE034"/>
    <s v="NANDHAKISHORE S "/>
    <n v="2"/>
    <x v="8"/>
    <x v="8"/>
    <n v="33"/>
    <n v="46"/>
    <n v="79"/>
    <n v="-13"/>
    <s v="Pass"/>
    <n v="1"/>
    <n v="8"/>
    <n v="3"/>
    <n v="1"/>
  </r>
  <r>
    <s v="Aeronautical Engineering"/>
    <s v="24BAE034"/>
    <s v="NANDHAKISHORE S "/>
    <n v="2"/>
    <x v="9"/>
    <x v="9"/>
    <n v="35"/>
    <n v="46"/>
    <n v="81"/>
    <n v="-11"/>
    <s v="Pass"/>
    <n v="1"/>
    <n v="8"/>
    <n v="3"/>
    <n v="1"/>
  </r>
  <r>
    <s v="Aeronautical Engineering"/>
    <s v="24BAE034"/>
    <s v="NANDHAKISHORE S "/>
    <n v="1"/>
    <x v="10"/>
    <x v="10"/>
    <n v="95"/>
    <n v="0"/>
    <n v="95"/>
    <n v="0"/>
    <s v="Pass"/>
    <n v="1"/>
    <n v="10"/>
    <n v="1"/>
    <n v="0"/>
  </r>
  <r>
    <s v="Aeronautical Engineering"/>
    <s v="24BAE034"/>
    <s v="NANDHAKISHORE S "/>
    <n v="1"/>
    <x v="11"/>
    <x v="11"/>
    <n v="28"/>
    <n v="33"/>
    <n v="61"/>
    <n v="-5"/>
    <s v="Pass"/>
    <n v="1"/>
    <n v="8"/>
    <n v="3"/>
    <n v="1"/>
  </r>
  <r>
    <s v="Aeronautical Engineering"/>
    <s v="24BAE034"/>
    <s v="NANDHAKISHORE S "/>
    <n v="1"/>
    <x v="12"/>
    <x v="12"/>
    <n v="70"/>
    <n v="0"/>
    <n v="70"/>
    <n v="0"/>
    <s v="Pass"/>
    <n v="1"/>
    <n v="7"/>
    <n v="1"/>
    <n v="0"/>
  </r>
  <r>
    <s v="Aeronautical Engineering"/>
    <s v="24BAE034"/>
    <s v="NANDHAKISHORE S "/>
    <n v="1"/>
    <x v="13"/>
    <x v="13"/>
    <n v="30"/>
    <n v="44"/>
    <n v="74"/>
    <n v="-14"/>
    <s v="Pass"/>
    <n v="1"/>
    <n v="8"/>
    <n v="1"/>
    <n v="1"/>
  </r>
  <r>
    <s v="Aeronautical Engineering"/>
    <s v="24BAE034"/>
    <s v="NANDHAKISHORE S "/>
    <n v="1"/>
    <x v="40"/>
    <x v="40"/>
    <n v="85"/>
    <n v="0"/>
    <n v="85"/>
    <n v="0"/>
    <s v="Pass"/>
    <n v="1"/>
    <n v="9"/>
    <n v="1"/>
    <n v="0"/>
  </r>
  <r>
    <s v="Aeronautical Engineering"/>
    <s v="24BAE034"/>
    <s v="NANDHAKISHORE S "/>
    <n v="1"/>
    <x v="15"/>
    <x v="15"/>
    <n v="90"/>
    <n v="0"/>
    <n v="90"/>
    <n v="0"/>
    <s v="Pass"/>
    <n v="1"/>
    <n v="9"/>
    <n v="1"/>
    <n v="0"/>
  </r>
  <r>
    <s v="Aeronautical Engineering"/>
    <s v="24BAE034"/>
    <s v="NANDHAKISHORE S "/>
    <n v="1"/>
    <x v="16"/>
    <x v="16"/>
    <n v="94"/>
    <n v="0"/>
    <n v="94"/>
    <n v="0"/>
    <s v="Pass"/>
    <n v="1"/>
    <n v="10"/>
    <n v="1"/>
    <n v="0"/>
  </r>
  <r>
    <s v="Aeronautical Engineering"/>
    <s v="24BAE034"/>
    <s v="NANDHAKISHORE S "/>
    <n v="1"/>
    <x v="17"/>
    <x v="17"/>
    <n v="46"/>
    <n v="39"/>
    <n v="85"/>
    <n v="7"/>
    <s v="Pass"/>
    <n v="1"/>
    <n v="8"/>
    <n v="4"/>
    <n v="1"/>
  </r>
  <r>
    <s v="Aeronautical Engineering"/>
    <s v="24BAE034"/>
    <s v="NANDHAKISHORE S "/>
    <n v="1"/>
    <x v="18"/>
    <x v="18"/>
    <n v="41"/>
    <n v="40"/>
    <n v="81"/>
    <n v="1"/>
    <s v="Pass"/>
    <n v="1"/>
    <n v="8"/>
    <n v="3"/>
    <n v="1"/>
  </r>
  <r>
    <s v="Aeronautical Engineering"/>
    <s v="24BAE034"/>
    <s v="NANDHAKISHORE S "/>
    <n v="1"/>
    <x v="19"/>
    <x v="19"/>
    <n v="40"/>
    <n v="35"/>
    <n v="75"/>
    <n v="5"/>
    <s v="Pass"/>
    <n v="1"/>
    <n v="8"/>
    <n v="4"/>
    <n v="1"/>
  </r>
  <r>
    <s v="Aeronautical Engineering"/>
    <s v="24BAE035"/>
    <s v="NARTHANA S V "/>
    <n v="2"/>
    <x v="0"/>
    <x v="0"/>
    <n v="45"/>
    <n v="39"/>
    <n v="84"/>
    <n v="6"/>
    <s v="Pass"/>
    <n v="1"/>
    <n v="8"/>
    <n v="4"/>
    <n v="1"/>
  </r>
  <r>
    <s v="Aeronautical Engineering"/>
    <s v="24BAE035"/>
    <s v="NARTHANA S V "/>
    <n v="2"/>
    <x v="1"/>
    <x v="1"/>
    <n v="42"/>
    <n v="34"/>
    <n v="76"/>
    <n v="8"/>
    <s v="Pass"/>
    <n v="1"/>
    <n v="8"/>
    <n v="4"/>
    <n v="1"/>
  </r>
  <r>
    <s v="Aeronautical Engineering"/>
    <s v="24BAE035"/>
    <s v="NARTHANA S V "/>
    <n v="2"/>
    <x v="3"/>
    <x v="3"/>
    <n v="40"/>
    <n v="32"/>
    <n v="72"/>
    <n v="8"/>
    <s v="Pass"/>
    <n v="1"/>
    <n v="7"/>
    <n v="1"/>
    <n v="1"/>
  </r>
  <r>
    <s v="Aeronautical Engineering"/>
    <s v="24BAE035"/>
    <s v="NARTHANA S V "/>
    <n v="2"/>
    <x v="20"/>
    <x v="20"/>
    <n v="35"/>
    <n v="40"/>
    <n v="75"/>
    <n v="-5"/>
    <s v="Pass"/>
    <n v="1"/>
    <n v="8"/>
    <n v="2"/>
    <n v="1"/>
  </r>
  <r>
    <s v="Aeronautical Engineering"/>
    <s v="24BAE035"/>
    <s v="NARTHANA S V "/>
    <n v="2"/>
    <x v="26"/>
    <x v="26"/>
    <n v="53"/>
    <n v="38"/>
    <n v="91"/>
    <n v="15"/>
    <s v="Pass"/>
    <n v="1"/>
    <n v="10"/>
    <n v="3"/>
    <n v="1"/>
  </r>
  <r>
    <s v="Aeronautical Engineering"/>
    <s v="24BAE035"/>
    <s v="NARTHANA S V "/>
    <n v="2"/>
    <x v="7"/>
    <x v="7"/>
    <n v="43"/>
    <n v="33"/>
    <n v="76"/>
    <n v="10"/>
    <s v="Pass"/>
    <n v="1"/>
    <n v="8"/>
    <n v="4"/>
    <n v="1"/>
  </r>
  <r>
    <s v="Aeronautical Engineering"/>
    <s v="24BAE035"/>
    <s v="NARTHANA S V "/>
    <n v="2"/>
    <x v="8"/>
    <x v="8"/>
    <n v="25"/>
    <n v="38"/>
    <n v="63"/>
    <n v="-13"/>
    <s v="Pass"/>
    <n v="1"/>
    <n v="6"/>
    <n v="3"/>
    <n v="1"/>
  </r>
  <r>
    <s v="Aeronautical Engineering"/>
    <s v="24BAE035"/>
    <s v="NARTHANA S V "/>
    <n v="2"/>
    <x v="9"/>
    <x v="9"/>
    <n v="30"/>
    <n v="43"/>
    <n v="73"/>
    <n v="-13"/>
    <s v="Pass"/>
    <n v="1"/>
    <n v="8"/>
    <n v="3"/>
    <n v="1"/>
  </r>
  <r>
    <s v="Aeronautical Engineering"/>
    <s v="24BAE035"/>
    <s v="NARTHANA S V "/>
    <n v="1"/>
    <x v="10"/>
    <x v="10"/>
    <n v="79"/>
    <n v="0"/>
    <n v="79"/>
    <n v="0"/>
    <s v="Pass"/>
    <n v="1"/>
    <n v="8"/>
    <n v="1"/>
    <n v="0"/>
  </r>
  <r>
    <s v="Aeronautical Engineering"/>
    <s v="24BAE035"/>
    <s v="NARTHANA S V "/>
    <n v="1"/>
    <x v="11"/>
    <x v="11"/>
    <n v="25"/>
    <n v="37"/>
    <n v="62"/>
    <n v="-12"/>
    <s v="Pass"/>
    <n v="1"/>
    <n v="8"/>
    <n v="3"/>
    <n v="1"/>
  </r>
  <r>
    <s v="Aeronautical Engineering"/>
    <s v="24BAE035"/>
    <s v="NARTHANA S V "/>
    <n v="1"/>
    <x v="12"/>
    <x v="12"/>
    <n v="83"/>
    <n v="0"/>
    <n v="83"/>
    <n v="0"/>
    <s v="Pass"/>
    <n v="1"/>
    <n v="9"/>
    <n v="1"/>
    <n v="0"/>
  </r>
  <r>
    <s v="Aeronautical Engineering"/>
    <s v="24BAE035"/>
    <s v="NARTHANA S V "/>
    <n v="1"/>
    <x v="13"/>
    <x v="13"/>
    <n v="33"/>
    <n v="41"/>
    <n v="74"/>
    <n v="-8"/>
    <s v="Pass"/>
    <n v="1"/>
    <n v="8"/>
    <n v="1"/>
    <n v="1"/>
  </r>
  <r>
    <s v="Aeronautical Engineering"/>
    <s v="24BAE035"/>
    <s v="NARTHANA S V "/>
    <n v="1"/>
    <x v="27"/>
    <x v="27"/>
    <n v="59"/>
    <n v="39"/>
    <n v="98"/>
    <n v="20"/>
    <s v="Pass"/>
    <n v="1"/>
    <n v="10"/>
    <n v="3"/>
    <n v="1"/>
  </r>
  <r>
    <s v="Aeronautical Engineering"/>
    <s v="24BAE035"/>
    <s v="NARTHANA S V "/>
    <n v="1"/>
    <x v="17"/>
    <x v="17"/>
    <n v="46"/>
    <n v="37"/>
    <n v="83"/>
    <n v="9"/>
    <s v="Pass"/>
    <n v="1"/>
    <n v="8"/>
    <n v="4"/>
    <n v="1"/>
  </r>
  <r>
    <s v="Aeronautical Engineering"/>
    <s v="24BAE035"/>
    <s v="NARTHANA S V "/>
    <n v="1"/>
    <x v="18"/>
    <x v="18"/>
    <n v="44"/>
    <n v="43"/>
    <n v="87"/>
    <n v="1"/>
    <s v="Pass"/>
    <n v="1"/>
    <n v="8"/>
    <n v="3"/>
    <n v="1"/>
  </r>
  <r>
    <s v="Aeronautical Engineering"/>
    <s v="24BAE035"/>
    <s v="NARTHANA S V "/>
    <n v="1"/>
    <x v="19"/>
    <x v="19"/>
    <n v="44"/>
    <n v="42"/>
    <n v="86"/>
    <n v="2"/>
    <s v="Pass"/>
    <n v="1"/>
    <n v="10"/>
    <n v="4"/>
    <n v="1"/>
  </r>
  <r>
    <s v="Aeronautical Engineering"/>
    <s v="24BAE036"/>
    <s v="NIVEDHYA T S "/>
    <n v="2"/>
    <x v="0"/>
    <x v="0"/>
    <n v="45"/>
    <n v="40"/>
    <n v="85"/>
    <n v="5"/>
    <s v="Pass"/>
    <n v="1"/>
    <n v="8"/>
    <n v="4"/>
    <n v="1"/>
  </r>
  <r>
    <s v="Aeronautical Engineering"/>
    <s v="24BAE036"/>
    <s v="NIVEDHYA T S "/>
    <n v="2"/>
    <x v="1"/>
    <x v="1"/>
    <n v="44"/>
    <n v="27"/>
    <n v="71"/>
    <n v="17"/>
    <s v="Pass"/>
    <n v="1"/>
    <n v="7"/>
    <n v="4"/>
    <n v="1"/>
  </r>
  <r>
    <s v="Aeronautical Engineering"/>
    <s v="24BAE036"/>
    <s v="NIVEDHYA T S "/>
    <n v="2"/>
    <x v="2"/>
    <x v="2"/>
    <n v="87"/>
    <n v="0"/>
    <n v="87"/>
    <n v="0"/>
    <s v="Pass"/>
    <n v="1"/>
    <n v="9"/>
    <n v="1"/>
    <n v="0"/>
  </r>
  <r>
    <s v="Aeronautical Engineering"/>
    <s v="24BAE036"/>
    <s v="NIVEDHYA T S "/>
    <n v="2"/>
    <x v="3"/>
    <x v="3"/>
    <n v="39"/>
    <n v="33"/>
    <n v="72"/>
    <n v="6"/>
    <s v="Pass"/>
    <n v="1"/>
    <n v="7"/>
    <n v="1"/>
    <n v="1"/>
  </r>
  <r>
    <s v="Aeronautical Engineering"/>
    <s v="24BAE036"/>
    <s v="NIVEDHYA T S "/>
    <n v="2"/>
    <x v="20"/>
    <x v="20"/>
    <n v="34"/>
    <n v="43"/>
    <n v="77"/>
    <n v="-9"/>
    <s v="Pass"/>
    <n v="1"/>
    <n v="8"/>
    <n v="2"/>
    <n v="1"/>
  </r>
  <r>
    <s v="Aeronautical Engineering"/>
    <s v="24BAE036"/>
    <s v="NIVEDHYA T S "/>
    <n v="2"/>
    <x v="47"/>
    <x v="47"/>
    <n v="76"/>
    <n v="0"/>
    <n v="76"/>
    <n v="0"/>
    <s v="Pass"/>
    <n v="1"/>
    <n v="8"/>
    <n v="1"/>
    <n v="0"/>
  </r>
  <r>
    <s v="Aeronautical Engineering"/>
    <s v="24BAE036"/>
    <s v="NIVEDHYA T S "/>
    <n v="2"/>
    <x v="6"/>
    <x v="6"/>
    <n v="96"/>
    <n v="0"/>
    <n v="96"/>
    <n v="0"/>
    <s v="Pass"/>
    <n v="1"/>
    <n v="10"/>
    <n v="1"/>
    <n v="0"/>
  </r>
  <r>
    <s v="Aeronautical Engineering"/>
    <s v="24BAE036"/>
    <s v="NIVEDHYA T S "/>
    <n v="2"/>
    <x v="7"/>
    <x v="7"/>
    <n v="41"/>
    <n v="28"/>
    <n v="69"/>
    <n v="13"/>
    <s v="Pass"/>
    <n v="1"/>
    <n v="8"/>
    <n v="4"/>
    <n v="1"/>
  </r>
  <r>
    <s v="Aeronautical Engineering"/>
    <s v="24BAE036"/>
    <s v="NIVEDHYA T S "/>
    <n v="2"/>
    <x v="8"/>
    <x v="8"/>
    <n v="20"/>
    <n v="41"/>
    <n v="61"/>
    <n v="-21"/>
    <s v="Pass"/>
    <n v="1"/>
    <n v="6"/>
    <n v="3"/>
    <n v="1"/>
  </r>
  <r>
    <s v="Aeronautical Engineering"/>
    <s v="24BAE036"/>
    <s v="NIVEDHYA T S "/>
    <n v="2"/>
    <x v="9"/>
    <x v="9"/>
    <n v="34"/>
    <n v="42"/>
    <n v="76"/>
    <n v="-8"/>
    <s v="Pass"/>
    <n v="1"/>
    <n v="8"/>
    <n v="3"/>
    <n v="1"/>
  </r>
  <r>
    <s v="Aeronautical Engineering"/>
    <s v="24BAE036"/>
    <s v="NIVEDHYA T S "/>
    <n v="1"/>
    <x v="10"/>
    <x v="10"/>
    <n v="93"/>
    <n v="0"/>
    <n v="93"/>
    <n v="0"/>
    <s v="Pass"/>
    <n v="1"/>
    <n v="10"/>
    <n v="1"/>
    <n v="0"/>
  </r>
  <r>
    <s v="Aeronautical Engineering"/>
    <s v="24BAE036"/>
    <s v="NIVEDHYA T S "/>
    <n v="1"/>
    <x v="11"/>
    <x v="11"/>
    <n v="23"/>
    <n v="30"/>
    <n v="53"/>
    <n v="-7"/>
    <s v="Pass"/>
    <n v="1"/>
    <n v="6"/>
    <n v="3"/>
    <n v="1"/>
  </r>
  <r>
    <s v="Aeronautical Engineering"/>
    <s v="24BAE036"/>
    <s v="NIVEDHYA T S "/>
    <n v="1"/>
    <x v="12"/>
    <x v="12"/>
    <n v="68"/>
    <n v="0"/>
    <n v="68"/>
    <n v="0"/>
    <s v="Pass"/>
    <n v="1"/>
    <n v="7"/>
    <n v="1"/>
    <n v="0"/>
  </r>
  <r>
    <s v="Aeronautical Engineering"/>
    <s v="24BAE036"/>
    <s v="NIVEDHYA T S "/>
    <n v="1"/>
    <x v="13"/>
    <x v="13"/>
    <n v="30"/>
    <n v="52"/>
    <n v="82"/>
    <n v="-22"/>
    <s v="Pass"/>
    <n v="1"/>
    <n v="9"/>
    <n v="1"/>
    <n v="1"/>
  </r>
  <r>
    <s v="Aeronautical Engineering"/>
    <s v="24BAE036"/>
    <s v="NIVEDHYA T S "/>
    <n v="1"/>
    <x v="48"/>
    <x v="48"/>
    <n v="89"/>
    <n v="0"/>
    <n v="89"/>
    <n v="0"/>
    <s v="Pass"/>
    <n v="1"/>
    <n v="9"/>
    <n v="1"/>
    <n v="0"/>
  </r>
  <r>
    <s v="Aeronautical Engineering"/>
    <s v="24BAE036"/>
    <s v="NIVEDHYA T S "/>
    <n v="1"/>
    <x v="15"/>
    <x v="15"/>
    <n v="85"/>
    <n v="0"/>
    <n v="85"/>
    <n v="0"/>
    <s v="Pass"/>
    <n v="1"/>
    <n v="9"/>
    <n v="1"/>
    <n v="0"/>
  </r>
  <r>
    <s v="Aeronautical Engineering"/>
    <s v="24BAE036"/>
    <s v="NIVEDHYA T S "/>
    <n v="1"/>
    <x v="16"/>
    <x v="16"/>
    <n v="85"/>
    <n v="0"/>
    <n v="85"/>
    <n v="0"/>
    <s v="Pass"/>
    <n v="1"/>
    <n v="9"/>
    <n v="1"/>
    <n v="0"/>
  </r>
  <r>
    <s v="Aeronautical Engineering"/>
    <s v="24BAE036"/>
    <s v="NIVEDHYA T S "/>
    <n v="1"/>
    <x v="17"/>
    <x v="17"/>
    <n v="39"/>
    <n v="39"/>
    <n v="78"/>
    <n v="0"/>
    <s v="Pass"/>
    <n v="1"/>
    <n v="8"/>
    <n v="4"/>
    <n v="1"/>
  </r>
  <r>
    <s v="Aeronautical Engineering"/>
    <s v="24BAE036"/>
    <s v="NIVEDHYA T S "/>
    <n v="1"/>
    <x v="18"/>
    <x v="18"/>
    <n v="40"/>
    <n v="48"/>
    <n v="88"/>
    <n v="-8"/>
    <s v="Pass"/>
    <n v="1"/>
    <n v="9"/>
    <n v="3"/>
    <n v="1"/>
  </r>
  <r>
    <s v="Aeronautical Engineering"/>
    <s v="24BAE036"/>
    <s v="NIVEDHYA T S "/>
    <n v="1"/>
    <x v="19"/>
    <x v="19"/>
    <n v="38"/>
    <n v="45"/>
    <n v="83"/>
    <n v="-7"/>
    <s v="Pass"/>
    <n v="1"/>
    <n v="9"/>
    <n v="4"/>
    <n v="1"/>
  </r>
  <r>
    <s v="Aeronautical Engineering"/>
    <s v="24BAE037"/>
    <s v="NOOMAN NAVITH S "/>
    <n v="2"/>
    <x v="0"/>
    <x v="0"/>
    <n v="43"/>
    <n v="35"/>
    <n v="78"/>
    <n v="8"/>
    <s v="Pass"/>
    <n v="1"/>
    <n v="8"/>
    <n v="4"/>
    <n v="1"/>
  </r>
  <r>
    <s v="Aeronautical Engineering"/>
    <s v="24BAE037"/>
    <s v="NOOMAN NAVITH S "/>
    <n v="2"/>
    <x v="1"/>
    <x v="1"/>
    <n v="39"/>
    <n v="28"/>
    <n v="67"/>
    <n v="11"/>
    <s v="Pass"/>
    <n v="1"/>
    <n v="7"/>
    <n v="4"/>
    <n v="1"/>
  </r>
  <r>
    <s v="Aeronautical Engineering"/>
    <s v="24BAE037"/>
    <s v="NOOMAN NAVITH S "/>
    <n v="2"/>
    <x v="2"/>
    <x v="2"/>
    <n v="78"/>
    <n v="0"/>
    <n v="78"/>
    <n v="0"/>
    <s v="Pass"/>
    <n v="1"/>
    <n v="8"/>
    <n v="1"/>
    <n v="0"/>
  </r>
  <r>
    <s v="Aeronautical Engineering"/>
    <s v="24BAE037"/>
    <s v="NOOMAN NAVITH S "/>
    <n v="2"/>
    <x v="3"/>
    <x v="3"/>
    <n v="35"/>
    <n v="29"/>
    <n v="64"/>
    <n v="6"/>
    <s v="Pass"/>
    <n v="1"/>
    <n v="7"/>
    <n v="1"/>
    <n v="1"/>
  </r>
  <r>
    <s v="Aeronautical Engineering"/>
    <s v="24BAE037"/>
    <s v="NOOMAN NAVITH S "/>
    <n v="2"/>
    <x v="4"/>
    <x v="4"/>
    <n v="30"/>
    <n v="31"/>
    <n v="61"/>
    <n v="-1"/>
    <s v="Pass"/>
    <n v="1"/>
    <n v="6"/>
    <n v="2"/>
    <n v="1"/>
  </r>
  <r>
    <s v="Aeronautical Engineering"/>
    <s v="24BAE037"/>
    <s v="NOOMAN NAVITH S "/>
    <n v="2"/>
    <x v="5"/>
    <x v="5"/>
    <n v="66"/>
    <n v="0"/>
    <n v="66"/>
    <n v="0"/>
    <s v="Pass"/>
    <n v="1"/>
    <n v="7"/>
    <n v="1"/>
    <n v="0"/>
  </r>
  <r>
    <s v="Aeronautical Engineering"/>
    <s v="24BAE037"/>
    <s v="NOOMAN NAVITH S "/>
    <n v="2"/>
    <x v="6"/>
    <x v="6"/>
    <n v="96"/>
    <n v="0"/>
    <n v="96"/>
    <n v="0"/>
    <s v="Pass"/>
    <n v="1"/>
    <n v="10"/>
    <n v="1"/>
    <n v="0"/>
  </r>
  <r>
    <s v="Aeronautical Engineering"/>
    <s v="24BAE037"/>
    <s v="NOOMAN NAVITH S "/>
    <n v="2"/>
    <x v="7"/>
    <x v="7"/>
    <n v="40"/>
    <n v="38"/>
    <n v="78"/>
    <n v="2"/>
    <s v="Pass"/>
    <n v="1"/>
    <n v="8"/>
    <n v="4"/>
    <n v="1"/>
  </r>
  <r>
    <s v="Aeronautical Engineering"/>
    <s v="24BAE037"/>
    <s v="NOOMAN NAVITH S "/>
    <n v="2"/>
    <x v="8"/>
    <x v="8"/>
    <n v="24"/>
    <n v="30"/>
    <n v="54"/>
    <n v="-6"/>
    <s v="Pass"/>
    <n v="1"/>
    <n v="5"/>
    <n v="3"/>
    <n v="1"/>
  </r>
  <r>
    <s v="Aeronautical Engineering"/>
    <s v="24BAE037"/>
    <s v="NOOMAN NAVITH S "/>
    <n v="2"/>
    <x v="9"/>
    <x v="9"/>
    <n v="31"/>
    <n v="48"/>
    <n v="79"/>
    <n v="-17"/>
    <s v="Pass"/>
    <n v="1"/>
    <n v="8"/>
    <n v="3"/>
    <n v="1"/>
  </r>
  <r>
    <s v="Aeronautical Engineering"/>
    <s v="24BAE037"/>
    <s v="NOOMAN NAVITH S "/>
    <n v="1"/>
    <x v="10"/>
    <x v="10"/>
    <n v="90"/>
    <n v="0"/>
    <n v="90"/>
    <n v="0"/>
    <s v="Pass"/>
    <n v="1"/>
    <n v="9"/>
    <n v="1"/>
    <n v="0"/>
  </r>
  <r>
    <s v="Aeronautical Engineering"/>
    <s v="24BAE037"/>
    <s v="NOOMAN NAVITH S "/>
    <n v="1"/>
    <x v="11"/>
    <x v="11"/>
    <n v="26"/>
    <n v="30"/>
    <n v="56"/>
    <n v="-4"/>
    <s v="Pass"/>
    <n v="1"/>
    <n v="7"/>
    <n v="3"/>
    <n v="1"/>
  </r>
  <r>
    <s v="Aeronautical Engineering"/>
    <s v="24BAE037"/>
    <s v="NOOMAN NAVITH S "/>
    <n v="1"/>
    <x v="12"/>
    <x v="12"/>
    <n v="63"/>
    <n v="0"/>
    <n v="63"/>
    <n v="0"/>
    <s v="Pass"/>
    <n v="1"/>
    <n v="7"/>
    <n v="1"/>
    <n v="0"/>
  </r>
  <r>
    <s v="Aeronautical Engineering"/>
    <s v="24BAE037"/>
    <s v="NOOMAN NAVITH S "/>
    <n v="1"/>
    <x v="13"/>
    <x v="13"/>
    <n v="29"/>
    <n v="40"/>
    <n v="69"/>
    <n v="-11"/>
    <s v="Pass"/>
    <n v="1"/>
    <n v="7"/>
    <n v="1"/>
    <n v="1"/>
  </r>
  <r>
    <s v="Aeronautical Engineering"/>
    <s v="24BAE037"/>
    <s v="NOOMAN NAVITH S "/>
    <n v="1"/>
    <x v="28"/>
    <x v="28"/>
    <n v="98"/>
    <n v="0"/>
    <n v="98"/>
    <n v="0"/>
    <s v="Pass"/>
    <n v="1"/>
    <n v="10"/>
    <n v="1"/>
    <n v="0"/>
  </r>
  <r>
    <s v="Aeronautical Engineering"/>
    <s v="24BAE037"/>
    <s v="NOOMAN NAVITH S "/>
    <n v="1"/>
    <x v="15"/>
    <x v="15"/>
    <n v="80"/>
    <n v="0"/>
    <n v="80"/>
    <n v="0"/>
    <s v="Pass"/>
    <n v="1"/>
    <n v="8"/>
    <n v="1"/>
    <n v="0"/>
  </r>
  <r>
    <s v="Aeronautical Engineering"/>
    <s v="24BAE037"/>
    <s v="NOOMAN NAVITH S "/>
    <n v="1"/>
    <x v="16"/>
    <x v="16"/>
    <n v="91"/>
    <n v="0"/>
    <n v="91"/>
    <n v="0"/>
    <s v="Pass"/>
    <n v="1"/>
    <n v="10"/>
    <n v="1"/>
    <n v="0"/>
  </r>
  <r>
    <s v="Aeronautical Engineering"/>
    <s v="24BAE037"/>
    <s v="NOOMAN NAVITH S "/>
    <n v="1"/>
    <x v="17"/>
    <x v="17"/>
    <n v="44"/>
    <n v="45"/>
    <n v="89"/>
    <n v="-1"/>
    <s v="Pass"/>
    <n v="1"/>
    <n v="9"/>
    <n v="4"/>
    <n v="1"/>
  </r>
  <r>
    <s v="Aeronautical Engineering"/>
    <s v="24BAE037"/>
    <s v="NOOMAN NAVITH S "/>
    <n v="1"/>
    <x v="18"/>
    <x v="18"/>
    <n v="40"/>
    <n v="33"/>
    <n v="73"/>
    <n v="7"/>
    <s v="Pass"/>
    <n v="1"/>
    <n v="8"/>
    <n v="3"/>
    <n v="1"/>
  </r>
  <r>
    <s v="Aeronautical Engineering"/>
    <s v="24BAE037"/>
    <s v="NOOMAN NAVITH S "/>
    <n v="1"/>
    <x v="19"/>
    <x v="19"/>
    <n v="39"/>
    <n v="44"/>
    <n v="83"/>
    <n v="-5"/>
    <s v="Pass"/>
    <n v="1"/>
    <n v="9"/>
    <n v="4"/>
    <n v="1"/>
  </r>
  <r>
    <s v="Aeronautical Engineering"/>
    <s v="24BAE038"/>
    <s v="PRAKASH R "/>
    <n v="2"/>
    <x v="1"/>
    <x v="1"/>
    <n v="34"/>
    <n v="18"/>
    <n v="52"/>
    <n v="16"/>
    <s v="Fail"/>
    <n v="0"/>
    <n v="0"/>
    <n v="4"/>
    <n v="1"/>
  </r>
  <r>
    <s v="Aeronautical Engineering"/>
    <s v="24BAE038"/>
    <s v="PRAKASH R "/>
    <n v="2"/>
    <x v="7"/>
    <x v="7"/>
    <n v="30"/>
    <n v="14"/>
    <n v="44"/>
    <n v="16"/>
    <s v="Fail"/>
    <n v="0"/>
    <n v="0"/>
    <n v="4"/>
    <n v="1"/>
  </r>
  <r>
    <s v="Aeronautical Engineering"/>
    <s v="24BAE038"/>
    <s v="PRAKASH R "/>
    <n v="2"/>
    <x v="8"/>
    <x v="8"/>
    <n v="13"/>
    <n v="36"/>
    <n v="49"/>
    <n v="-23"/>
    <s v="Fail"/>
    <n v="0"/>
    <n v="0"/>
    <n v="3"/>
    <n v="1"/>
  </r>
  <r>
    <s v="Aeronautical Engineering"/>
    <s v="24BAE038"/>
    <s v="PRAKASH R "/>
    <n v="2"/>
    <x v="0"/>
    <x v="0"/>
    <n v="40"/>
    <n v="29"/>
    <n v="69"/>
    <n v="11"/>
    <s v="Pass"/>
    <n v="1"/>
    <n v="7"/>
    <n v="4"/>
    <n v="1"/>
  </r>
  <r>
    <s v="Aeronautical Engineering"/>
    <s v="24BAE038"/>
    <s v="PRAKASH R "/>
    <n v="2"/>
    <x v="11"/>
    <x v="11"/>
    <n v="21"/>
    <n v="44"/>
    <n v="65"/>
    <n v="-23"/>
    <s v="Pass"/>
    <n v="1"/>
    <n v="8"/>
    <n v="3"/>
    <n v="1"/>
  </r>
  <r>
    <s v="Aeronautical Engineering"/>
    <s v="24BAE038"/>
    <s v="PRAKASH R "/>
    <n v="2"/>
    <x v="2"/>
    <x v="2"/>
    <n v="71"/>
    <n v="0"/>
    <n v="71"/>
    <n v="0"/>
    <s v="Pass"/>
    <n v="1"/>
    <n v="8"/>
    <n v="1"/>
    <n v="0"/>
  </r>
  <r>
    <s v="Aeronautical Engineering"/>
    <s v="24BAE038"/>
    <s v="PRAKASH R "/>
    <n v="2"/>
    <x v="3"/>
    <x v="3"/>
    <n v="39"/>
    <n v="32"/>
    <n v="71"/>
    <n v="7"/>
    <s v="Pass"/>
    <n v="1"/>
    <n v="7"/>
    <n v="1"/>
    <n v="1"/>
  </r>
  <r>
    <s v="Aeronautical Engineering"/>
    <s v="24BAE038"/>
    <s v="PRAKASH R "/>
    <n v="2"/>
    <x v="20"/>
    <x v="20"/>
    <n v="21"/>
    <n v="40"/>
    <n v="61"/>
    <n v="-19"/>
    <s v="Pass"/>
    <n v="1"/>
    <n v="6"/>
    <n v="2"/>
    <n v="1"/>
  </r>
  <r>
    <s v="Aeronautical Engineering"/>
    <s v="24BAE038"/>
    <s v="PRAKASH R "/>
    <n v="2"/>
    <x v="23"/>
    <x v="23"/>
    <n v="100"/>
    <n v="0"/>
    <n v="100"/>
    <n v="0"/>
    <s v="Pass"/>
    <n v="1"/>
    <n v="10"/>
    <n v="1"/>
    <n v="0"/>
  </r>
  <r>
    <s v="Aeronautical Engineering"/>
    <s v="24BAE038"/>
    <s v="PRAKASH R "/>
    <n v="2"/>
    <x v="6"/>
    <x v="6"/>
    <n v="94"/>
    <n v="0"/>
    <n v="94"/>
    <n v="0"/>
    <s v="Pass"/>
    <n v="1"/>
    <n v="10"/>
    <n v="1"/>
    <n v="0"/>
  </r>
  <r>
    <s v="Aeronautical Engineering"/>
    <s v="24BAE038"/>
    <s v="PRAKASH R "/>
    <n v="2"/>
    <x v="9"/>
    <x v="9"/>
    <n v="20"/>
    <n v="35"/>
    <n v="55"/>
    <n v="-15"/>
    <s v="Pass"/>
    <n v="1"/>
    <n v="6"/>
    <n v="3"/>
    <n v="1"/>
  </r>
  <r>
    <s v="Aeronautical Engineering"/>
    <s v="24BAE038"/>
    <s v="PRAKASH R "/>
    <n v="1"/>
    <x v="10"/>
    <x v="10"/>
    <n v="92"/>
    <n v="0"/>
    <n v="92"/>
    <n v="0"/>
    <s v="Pass"/>
    <n v="1"/>
    <n v="10"/>
    <n v="1"/>
    <n v="0"/>
  </r>
  <r>
    <s v="Aeronautical Engineering"/>
    <s v="24BAE038"/>
    <s v="PRAKASH R "/>
    <n v="1"/>
    <x v="11"/>
    <x v="11"/>
    <n v="21"/>
    <n v="7"/>
    <n v="28"/>
    <n v="14"/>
    <s v="Fail"/>
    <n v="0"/>
    <n v="0"/>
    <n v="3"/>
    <n v="1"/>
  </r>
  <r>
    <s v="Aeronautical Engineering"/>
    <s v="24BAE038"/>
    <s v="PRAKASH R "/>
    <n v="1"/>
    <x v="12"/>
    <x v="12"/>
    <n v="86"/>
    <n v="0"/>
    <n v="86"/>
    <n v="0"/>
    <s v="Pass"/>
    <n v="1"/>
    <n v="9"/>
    <n v="1"/>
    <n v="0"/>
  </r>
  <r>
    <s v="Aeronautical Engineering"/>
    <s v="24BAE038"/>
    <s v="PRAKASH R "/>
    <n v="1"/>
    <x v="13"/>
    <x v="13"/>
    <n v="28"/>
    <n v="43"/>
    <n v="71"/>
    <n v="-15"/>
    <s v="Pass"/>
    <n v="1"/>
    <n v="7"/>
    <n v="1"/>
    <n v="1"/>
  </r>
  <r>
    <s v="Aeronautical Engineering"/>
    <s v="24BAE038"/>
    <s v="PRAKASH R "/>
    <n v="1"/>
    <x v="22"/>
    <x v="22"/>
    <n v="77"/>
    <n v="0"/>
    <n v="77"/>
    <n v="0"/>
    <s v="Pass"/>
    <n v="1"/>
    <n v="8"/>
    <n v="1"/>
    <n v="0"/>
  </r>
  <r>
    <s v="Aeronautical Engineering"/>
    <s v="24BAE038"/>
    <s v="PRAKASH R "/>
    <n v="1"/>
    <x v="15"/>
    <x v="15"/>
    <n v="80"/>
    <n v="0"/>
    <n v="80"/>
    <n v="0"/>
    <s v="Pass"/>
    <n v="1"/>
    <n v="8"/>
    <n v="1"/>
    <n v="0"/>
  </r>
  <r>
    <s v="Aeronautical Engineering"/>
    <s v="24BAE038"/>
    <s v="PRAKASH R "/>
    <n v="1"/>
    <x v="16"/>
    <x v="16"/>
    <n v="88"/>
    <n v="0"/>
    <n v="88"/>
    <n v="0"/>
    <s v="Pass"/>
    <n v="1"/>
    <n v="9"/>
    <n v="1"/>
    <n v="0"/>
  </r>
  <r>
    <s v="Aeronautical Engineering"/>
    <s v="24BAE038"/>
    <s v="PRAKASH R "/>
    <n v="1"/>
    <x v="17"/>
    <x v="17"/>
    <n v="36"/>
    <n v="29"/>
    <n v="65"/>
    <n v="7"/>
    <s v="Pass"/>
    <n v="1"/>
    <n v="7"/>
    <n v="4"/>
    <n v="1"/>
  </r>
  <r>
    <s v="Aeronautical Engineering"/>
    <s v="24BAE038"/>
    <s v="PRAKASH R "/>
    <n v="1"/>
    <x v="18"/>
    <x v="18"/>
    <n v="35"/>
    <n v="35"/>
    <n v="70"/>
    <n v="0"/>
    <s v="Pass"/>
    <n v="1"/>
    <n v="7"/>
    <n v="3"/>
    <n v="1"/>
  </r>
  <r>
    <s v="Aeronautical Engineering"/>
    <s v="24BAE038"/>
    <s v="PRAKASH R "/>
    <n v="1"/>
    <x v="19"/>
    <x v="19"/>
    <n v="33"/>
    <n v="35"/>
    <n v="68"/>
    <n v="-2"/>
    <s v="Pass"/>
    <n v="1"/>
    <n v="8"/>
    <n v="4"/>
    <n v="1"/>
  </r>
  <r>
    <s v="Aeronautical Engineering"/>
    <s v="24BAE039"/>
    <s v="PRAVEENKUMAR G "/>
    <n v="2"/>
    <x v="0"/>
    <x v="0"/>
    <n v="45"/>
    <n v="37"/>
    <n v="82"/>
    <n v="8"/>
    <s v="Pass"/>
    <n v="1"/>
    <n v="8"/>
    <n v="4"/>
    <n v="1"/>
  </r>
  <r>
    <s v="Aeronautical Engineering"/>
    <s v="24BAE039"/>
    <s v="PRAVEENKUMAR G "/>
    <n v="2"/>
    <x v="1"/>
    <x v="1"/>
    <n v="42"/>
    <n v="34"/>
    <n v="76"/>
    <n v="8"/>
    <s v="Pass"/>
    <n v="1"/>
    <n v="8"/>
    <n v="4"/>
    <n v="1"/>
  </r>
  <r>
    <s v="Aeronautical Engineering"/>
    <s v="24BAE039"/>
    <s v="PRAVEENKUMAR G "/>
    <n v="2"/>
    <x v="11"/>
    <x v="11"/>
    <n v="28"/>
    <n v="38"/>
    <n v="66"/>
    <n v="-10"/>
    <s v="Pass"/>
    <n v="1"/>
    <n v="8"/>
    <n v="3"/>
    <n v="1"/>
  </r>
  <r>
    <s v="Aeronautical Engineering"/>
    <s v="24BAE039"/>
    <s v="PRAVEENKUMAR G "/>
    <n v="2"/>
    <x v="2"/>
    <x v="2"/>
    <n v="85"/>
    <n v="0"/>
    <n v="85"/>
    <n v="0"/>
    <s v="Pass"/>
    <n v="1"/>
    <n v="9"/>
    <n v="1"/>
    <n v="0"/>
  </r>
  <r>
    <s v="Aeronautical Engineering"/>
    <s v="24BAE039"/>
    <s v="PRAVEENKUMAR G "/>
    <n v="2"/>
    <x v="3"/>
    <x v="3"/>
    <n v="39"/>
    <n v="32"/>
    <n v="71"/>
    <n v="7"/>
    <s v="Pass"/>
    <n v="1"/>
    <n v="7"/>
    <n v="1"/>
    <n v="1"/>
  </r>
  <r>
    <s v="Aeronautical Engineering"/>
    <s v="24BAE039"/>
    <s v="PRAVEENKUMAR G "/>
    <n v="2"/>
    <x v="4"/>
    <x v="4"/>
    <n v="33"/>
    <n v="37"/>
    <n v="70"/>
    <n v="-4"/>
    <s v="Pass"/>
    <n v="1"/>
    <n v="7"/>
    <n v="2"/>
    <n v="1"/>
  </r>
  <r>
    <s v="Aeronautical Engineering"/>
    <s v="24BAE039"/>
    <s v="PRAVEENKUMAR G "/>
    <n v="2"/>
    <x v="32"/>
    <x v="32"/>
    <n v="92"/>
    <n v="0"/>
    <n v="92"/>
    <n v="0"/>
    <s v="Pass"/>
    <n v="1"/>
    <n v="10"/>
    <n v="1"/>
    <n v="0"/>
  </r>
  <r>
    <s v="Aeronautical Engineering"/>
    <s v="24BAE039"/>
    <s v="PRAVEENKUMAR G "/>
    <n v="2"/>
    <x v="6"/>
    <x v="6"/>
    <n v="94"/>
    <n v="0"/>
    <n v="94"/>
    <n v="0"/>
    <s v="Pass"/>
    <n v="1"/>
    <n v="10"/>
    <n v="1"/>
    <n v="0"/>
  </r>
  <r>
    <s v="Aeronautical Engineering"/>
    <s v="24BAE039"/>
    <s v="PRAVEENKUMAR G "/>
    <n v="2"/>
    <x v="7"/>
    <x v="7"/>
    <n v="42"/>
    <n v="27"/>
    <n v="69"/>
    <n v="15"/>
    <s v="Pass"/>
    <n v="1"/>
    <n v="8"/>
    <n v="4"/>
    <n v="1"/>
  </r>
  <r>
    <s v="Aeronautical Engineering"/>
    <s v="24BAE039"/>
    <s v="PRAVEENKUMAR G "/>
    <n v="2"/>
    <x v="8"/>
    <x v="8"/>
    <n v="28"/>
    <n v="41"/>
    <n v="69"/>
    <n v="-13"/>
    <s v="Pass"/>
    <n v="1"/>
    <n v="7"/>
    <n v="3"/>
    <n v="1"/>
  </r>
  <r>
    <s v="Aeronautical Engineering"/>
    <s v="24BAE039"/>
    <s v="PRAVEENKUMAR G "/>
    <n v="2"/>
    <x v="9"/>
    <x v="9"/>
    <n v="31"/>
    <n v="37"/>
    <n v="68"/>
    <n v="-6"/>
    <s v="Pass"/>
    <n v="1"/>
    <n v="7"/>
    <n v="3"/>
    <n v="1"/>
  </r>
  <r>
    <s v="Aeronautical Engineering"/>
    <s v="24BAE039"/>
    <s v="PRAVEENKUMAR G "/>
    <n v="1"/>
    <x v="10"/>
    <x v="10"/>
    <n v="71"/>
    <n v="0"/>
    <n v="71"/>
    <n v="0"/>
    <s v="Pass"/>
    <n v="1"/>
    <n v="8"/>
    <n v="1"/>
    <n v="0"/>
  </r>
  <r>
    <s v="Aeronautical Engineering"/>
    <s v="24BAE039"/>
    <s v="PRAVEENKUMAR G "/>
    <n v="1"/>
    <x v="11"/>
    <x v="11"/>
    <n v="28"/>
    <n v="16"/>
    <n v="44"/>
    <n v="12"/>
    <s v="Fail"/>
    <n v="0"/>
    <n v="0"/>
    <n v="3"/>
    <n v="1"/>
  </r>
  <r>
    <s v="Aeronautical Engineering"/>
    <s v="24BAE039"/>
    <s v="PRAVEENKUMAR G "/>
    <n v="1"/>
    <x v="12"/>
    <x v="12"/>
    <n v="90"/>
    <n v="0"/>
    <n v="90"/>
    <n v="0"/>
    <s v="Pass"/>
    <n v="1"/>
    <n v="9"/>
    <n v="1"/>
    <n v="0"/>
  </r>
  <r>
    <s v="Aeronautical Engineering"/>
    <s v="24BAE039"/>
    <s v="PRAVEENKUMAR G "/>
    <n v="1"/>
    <x v="13"/>
    <x v="13"/>
    <n v="30"/>
    <n v="42"/>
    <n v="72"/>
    <n v="-12"/>
    <s v="Pass"/>
    <n v="1"/>
    <n v="7"/>
    <n v="1"/>
    <n v="1"/>
  </r>
  <r>
    <s v="Aeronautical Engineering"/>
    <s v="24BAE039"/>
    <s v="PRAVEENKUMAR G "/>
    <n v="1"/>
    <x v="27"/>
    <x v="27"/>
    <n v="59"/>
    <n v="39"/>
    <n v="98"/>
    <n v="20"/>
    <s v="Pass"/>
    <n v="1"/>
    <n v="10"/>
    <n v="3"/>
    <n v="1"/>
  </r>
  <r>
    <s v="Aeronautical Engineering"/>
    <s v="24BAE039"/>
    <s v="PRAVEENKUMAR G "/>
    <n v="1"/>
    <x v="17"/>
    <x v="17"/>
    <n v="45"/>
    <n v="41"/>
    <n v="86"/>
    <n v="4"/>
    <s v="Pass"/>
    <n v="1"/>
    <n v="8"/>
    <n v="4"/>
    <n v="1"/>
  </r>
  <r>
    <s v="Aeronautical Engineering"/>
    <s v="24BAE039"/>
    <s v="PRAVEENKUMAR G "/>
    <n v="1"/>
    <x v="18"/>
    <x v="18"/>
    <n v="43"/>
    <n v="44"/>
    <n v="87"/>
    <n v="-1"/>
    <s v="Pass"/>
    <n v="1"/>
    <n v="8"/>
    <n v="3"/>
    <n v="1"/>
  </r>
  <r>
    <s v="Aeronautical Engineering"/>
    <s v="24BAE039"/>
    <s v="PRAVEENKUMAR G "/>
    <n v="1"/>
    <x v="19"/>
    <x v="19"/>
    <n v="41"/>
    <n v="38"/>
    <n v="79"/>
    <n v="3"/>
    <s v="Pass"/>
    <n v="1"/>
    <n v="8"/>
    <n v="4"/>
    <n v="1"/>
  </r>
  <r>
    <s v="Aeronautical Engineering"/>
    <s v="24BAE040"/>
    <s v="RAGUL J "/>
    <n v="2"/>
    <x v="7"/>
    <x v="7"/>
    <n v="29"/>
    <n v="8"/>
    <n v="37"/>
    <n v="21"/>
    <s v="Fail"/>
    <n v="0"/>
    <n v="0"/>
    <n v="4"/>
    <n v="1"/>
  </r>
  <r>
    <s v="Aeronautical Engineering"/>
    <s v="24BAE040"/>
    <s v="RAGUL J "/>
    <n v="2"/>
    <x v="8"/>
    <x v="8"/>
    <n v="18"/>
    <n v="17"/>
    <n v="35"/>
    <n v="1"/>
    <s v="Fail"/>
    <n v="0"/>
    <n v="0"/>
    <n v="3"/>
    <n v="1"/>
  </r>
  <r>
    <s v="Aeronautical Engineering"/>
    <s v="24BAE040"/>
    <s v="RAGUL J "/>
    <n v="2"/>
    <x v="0"/>
    <x v="0"/>
    <n v="43"/>
    <n v="31"/>
    <n v="74"/>
    <n v="12"/>
    <s v="Pass"/>
    <n v="1"/>
    <n v="8"/>
    <n v="4"/>
    <n v="1"/>
  </r>
  <r>
    <s v="Aeronautical Engineering"/>
    <s v="24BAE040"/>
    <s v="RAGUL J "/>
    <n v="2"/>
    <x v="1"/>
    <x v="1"/>
    <n v="35"/>
    <n v="24"/>
    <n v="59"/>
    <n v="11"/>
    <s v="Pass"/>
    <n v="1"/>
    <n v="6"/>
    <n v="4"/>
    <n v="1"/>
  </r>
  <r>
    <s v="Aeronautical Engineering"/>
    <s v="24BAE040"/>
    <s v="RAGUL J "/>
    <n v="2"/>
    <x v="11"/>
    <x v="11"/>
    <n v="14"/>
    <n v="15"/>
    <n v="29"/>
    <n v="-1"/>
    <s v="Fail"/>
    <n v="0"/>
    <n v="0"/>
    <n v="3"/>
    <n v="1"/>
  </r>
  <r>
    <s v="Aeronautical Engineering"/>
    <s v="24BAE040"/>
    <s v="RAGUL J "/>
    <n v="2"/>
    <x v="2"/>
    <x v="2"/>
    <n v="59"/>
    <n v="0"/>
    <n v="59"/>
    <n v="0"/>
    <s v="Pass"/>
    <n v="1"/>
    <n v="6"/>
    <n v="1"/>
    <n v="0"/>
  </r>
  <r>
    <s v="Aeronautical Engineering"/>
    <s v="24BAE040"/>
    <s v="RAGUL J "/>
    <n v="2"/>
    <x v="3"/>
    <x v="3"/>
    <n v="33"/>
    <n v="28"/>
    <n v="61"/>
    <n v="5"/>
    <s v="Pass"/>
    <n v="1"/>
    <n v="6"/>
    <n v="1"/>
    <n v="1"/>
  </r>
  <r>
    <s v="Aeronautical Engineering"/>
    <s v="24BAE040"/>
    <s v="RAGUL J "/>
    <n v="2"/>
    <x v="4"/>
    <x v="4"/>
    <n v="28"/>
    <n v="31"/>
    <n v="59"/>
    <n v="-3"/>
    <s v="Pass"/>
    <n v="1"/>
    <n v="6"/>
    <n v="2"/>
    <n v="1"/>
  </r>
  <r>
    <s v="Aeronautical Engineering"/>
    <s v="24BAE040"/>
    <s v="RAGUL J "/>
    <n v="2"/>
    <x v="38"/>
    <x v="38"/>
    <n v="88"/>
    <n v="0"/>
    <n v="88"/>
    <n v="0"/>
    <s v="Pass"/>
    <n v="1"/>
    <n v="9"/>
    <n v="1"/>
    <n v="0"/>
  </r>
  <r>
    <s v="Aeronautical Engineering"/>
    <s v="24BAE040"/>
    <s v="RAGUL J "/>
    <n v="2"/>
    <x v="6"/>
    <x v="6"/>
    <n v="94"/>
    <n v="0"/>
    <n v="94"/>
    <n v="0"/>
    <s v="Pass"/>
    <n v="1"/>
    <n v="10"/>
    <n v="1"/>
    <n v="0"/>
  </r>
  <r>
    <s v="Aeronautical Engineering"/>
    <s v="24BAE040"/>
    <s v="RAGUL J "/>
    <n v="2"/>
    <x v="19"/>
    <x v="19"/>
    <n v="31"/>
    <n v="15"/>
    <n v="46"/>
    <n v="16"/>
    <s v="Fail"/>
    <n v="0"/>
    <n v="0"/>
    <n v="4"/>
    <n v="1"/>
  </r>
  <r>
    <s v="Aeronautical Engineering"/>
    <s v="24BAE040"/>
    <s v="RAGUL J "/>
    <n v="2"/>
    <x v="9"/>
    <x v="9"/>
    <n v="24"/>
    <n v="37"/>
    <n v="61"/>
    <n v="-13"/>
    <s v="Pass"/>
    <n v="1"/>
    <n v="6"/>
    <n v="3"/>
    <n v="1"/>
  </r>
  <r>
    <s v="Aeronautical Engineering"/>
    <s v="24BAE040"/>
    <s v="RAGUL J "/>
    <n v="1"/>
    <x v="10"/>
    <x v="10"/>
    <n v="96"/>
    <n v="0"/>
    <n v="96"/>
    <n v="0"/>
    <s v="Pass"/>
    <n v="1"/>
    <n v="10"/>
    <n v="1"/>
    <n v="0"/>
  </r>
  <r>
    <s v="Aeronautical Engineering"/>
    <s v="24BAE040"/>
    <s v="RAGUL J "/>
    <n v="1"/>
    <x v="11"/>
    <x v="11"/>
    <n v="14"/>
    <n v="4"/>
    <n v="18"/>
    <n v="10"/>
    <s v="Fail"/>
    <n v="0"/>
    <n v="0"/>
    <n v="3"/>
    <n v="1"/>
  </r>
  <r>
    <s v="Aeronautical Engineering"/>
    <s v="24BAE040"/>
    <s v="RAGUL J "/>
    <n v="1"/>
    <x v="12"/>
    <x v="12"/>
    <n v="79"/>
    <n v="0"/>
    <n v="79"/>
    <n v="0"/>
    <s v="Pass"/>
    <n v="1"/>
    <n v="8"/>
    <n v="1"/>
    <n v="0"/>
  </r>
  <r>
    <s v="Aeronautical Engineering"/>
    <s v="24BAE040"/>
    <s v="RAGUL J "/>
    <n v="1"/>
    <x v="13"/>
    <x v="13"/>
    <n v="25"/>
    <n v="34"/>
    <n v="59"/>
    <n v="-9"/>
    <s v="Pass"/>
    <n v="1"/>
    <n v="6"/>
    <n v="1"/>
    <n v="1"/>
  </r>
  <r>
    <s v="Aeronautical Engineering"/>
    <s v="24BAE040"/>
    <s v="RAGUL J "/>
    <n v="1"/>
    <x v="49"/>
    <x v="49"/>
    <n v="91"/>
    <n v="0"/>
    <n v="91"/>
    <n v="0"/>
    <s v="Pass"/>
    <n v="1"/>
    <n v="10"/>
    <n v="1"/>
    <n v="0"/>
  </r>
  <r>
    <s v="Aeronautical Engineering"/>
    <s v="24BAE040"/>
    <s v="RAGUL J "/>
    <n v="1"/>
    <x v="15"/>
    <x v="15"/>
    <n v="85"/>
    <n v="0"/>
    <n v="85"/>
    <n v="0"/>
    <s v="Pass"/>
    <n v="1"/>
    <n v="9"/>
    <n v="1"/>
    <n v="0"/>
  </r>
  <r>
    <s v="Aeronautical Engineering"/>
    <s v="24BAE040"/>
    <s v="RAGUL J "/>
    <n v="1"/>
    <x v="16"/>
    <x v="16"/>
    <n v="81"/>
    <n v="0"/>
    <n v="81"/>
    <n v="0"/>
    <s v="Pass"/>
    <n v="1"/>
    <n v="9"/>
    <n v="1"/>
    <n v="0"/>
  </r>
  <r>
    <s v="Aeronautical Engineering"/>
    <s v="24BAE040"/>
    <s v="RAGUL J "/>
    <n v="1"/>
    <x v="17"/>
    <x v="17"/>
    <n v="30"/>
    <n v="28"/>
    <n v="58"/>
    <n v="2"/>
    <s v="Pass"/>
    <n v="1"/>
    <n v="6"/>
    <n v="4"/>
    <n v="1"/>
  </r>
  <r>
    <s v="Aeronautical Engineering"/>
    <s v="24BAE040"/>
    <s v="RAGUL J "/>
    <n v="1"/>
    <x v="18"/>
    <x v="18"/>
    <n v="31"/>
    <n v="28"/>
    <n v="59"/>
    <n v="3"/>
    <s v="Pass"/>
    <n v="1"/>
    <n v="6"/>
    <n v="3"/>
    <n v="1"/>
  </r>
  <r>
    <s v="Aeronautical Engineering"/>
    <s v="24BAE040"/>
    <s v="RAGUL J "/>
    <n v="1"/>
    <x v="19"/>
    <x v="19"/>
    <n v="31"/>
    <n v="15"/>
    <n v="46"/>
    <n v="16"/>
    <s v="Fail"/>
    <n v="0"/>
    <n v="0"/>
    <n v="4"/>
    <n v="1"/>
  </r>
  <r>
    <s v="Aeronautical Engineering"/>
    <s v="24BAE041"/>
    <s v="RAGUL K "/>
    <n v="2"/>
    <x v="7"/>
    <x v="7"/>
    <n v="36"/>
    <n v="10"/>
    <n v="46"/>
    <n v="26"/>
    <s v="Fail"/>
    <n v="0"/>
    <n v="0"/>
    <n v="4"/>
    <n v="1"/>
  </r>
  <r>
    <s v="Aeronautical Engineering"/>
    <s v="24BAE041"/>
    <s v="RAGUL K "/>
    <n v="2"/>
    <x v="8"/>
    <x v="8"/>
    <n v="19"/>
    <n v="30"/>
    <n v="49"/>
    <n v="-11"/>
    <s v="Fail"/>
    <n v="0"/>
    <n v="0"/>
    <n v="3"/>
    <n v="1"/>
  </r>
  <r>
    <s v="Aeronautical Engineering"/>
    <s v="24BAE041"/>
    <s v="RAGUL K "/>
    <n v="2"/>
    <x v="0"/>
    <x v="0"/>
    <n v="41"/>
    <n v="36"/>
    <n v="77"/>
    <n v="5"/>
    <s v="Pass"/>
    <n v="1"/>
    <n v="8"/>
    <n v="4"/>
    <n v="1"/>
  </r>
  <r>
    <s v="Aeronautical Engineering"/>
    <s v="24BAE041"/>
    <s v="RAGUL K "/>
    <n v="2"/>
    <x v="1"/>
    <x v="1"/>
    <n v="36"/>
    <n v="27"/>
    <n v="63"/>
    <n v="9"/>
    <s v="Pass"/>
    <n v="1"/>
    <n v="7"/>
    <n v="4"/>
    <n v="1"/>
  </r>
  <r>
    <s v="Aeronautical Engineering"/>
    <s v="24BAE041"/>
    <s v="RAGUL K "/>
    <n v="2"/>
    <x v="11"/>
    <x v="11"/>
    <n v="10"/>
    <n v="17"/>
    <n v="27"/>
    <n v="-7"/>
    <s v="Fail"/>
    <n v="0"/>
    <n v="0"/>
    <n v="3"/>
    <n v="1"/>
  </r>
  <r>
    <s v="Aeronautical Engineering"/>
    <s v="24BAE041"/>
    <s v="RAGUL K "/>
    <n v="2"/>
    <x v="2"/>
    <x v="2"/>
    <n v="69"/>
    <n v="0"/>
    <n v="69"/>
    <n v="0"/>
    <s v="Pass"/>
    <n v="1"/>
    <n v="7"/>
    <n v="1"/>
    <n v="0"/>
  </r>
  <r>
    <s v="Aeronautical Engineering"/>
    <s v="24BAE041"/>
    <s v="RAGUL K "/>
    <n v="2"/>
    <x v="3"/>
    <x v="3"/>
    <n v="34"/>
    <n v="24"/>
    <n v="58"/>
    <n v="10"/>
    <s v="Pass"/>
    <n v="1"/>
    <n v="6"/>
    <n v="1"/>
    <n v="1"/>
  </r>
  <r>
    <s v="Aeronautical Engineering"/>
    <s v="24BAE041"/>
    <s v="RAGUL K "/>
    <n v="2"/>
    <x v="4"/>
    <x v="4"/>
    <n v="25"/>
    <n v="29"/>
    <n v="54"/>
    <n v="-4"/>
    <s v="Pass"/>
    <n v="1"/>
    <n v="5"/>
    <n v="2"/>
    <n v="1"/>
  </r>
  <r>
    <s v="Aeronautical Engineering"/>
    <s v="24BAE041"/>
    <s v="RAGUL K "/>
    <n v="2"/>
    <x v="50"/>
    <x v="50"/>
    <n v="74"/>
    <n v="0"/>
    <n v="74"/>
    <n v="0"/>
    <s v="Pass"/>
    <n v="1"/>
    <n v="8"/>
    <n v="1"/>
    <n v="0"/>
  </r>
  <r>
    <s v="Aeronautical Engineering"/>
    <s v="24BAE041"/>
    <s v="RAGUL K "/>
    <n v="2"/>
    <x v="6"/>
    <x v="6"/>
    <n v="94"/>
    <n v="0"/>
    <n v="94"/>
    <n v="0"/>
    <s v="Pass"/>
    <n v="1"/>
    <n v="10"/>
    <n v="1"/>
    <n v="0"/>
  </r>
  <r>
    <s v="Aeronautical Engineering"/>
    <s v="24BAE041"/>
    <s v="RAGUL K "/>
    <n v="2"/>
    <x v="9"/>
    <x v="9"/>
    <n v="25"/>
    <n v="30"/>
    <n v="55"/>
    <n v="-5"/>
    <s v="Pass"/>
    <n v="1"/>
    <n v="6"/>
    <n v="3"/>
    <n v="1"/>
  </r>
  <r>
    <s v="Aeronautical Engineering"/>
    <s v="24BAE041"/>
    <s v="RAGUL K "/>
    <n v="1"/>
    <x v="10"/>
    <x v="10"/>
    <n v="88"/>
    <n v="0"/>
    <n v="88"/>
    <n v="0"/>
    <s v="Pass"/>
    <n v="1"/>
    <n v="9"/>
    <n v="1"/>
    <n v="0"/>
  </r>
  <r>
    <s v="Aeronautical Engineering"/>
    <s v="24BAE041"/>
    <s v="RAGUL K "/>
    <n v="1"/>
    <x v="11"/>
    <x v="11"/>
    <n v="10"/>
    <n v="30"/>
    <n v="40"/>
    <n v="-20"/>
    <s v="Fail"/>
    <n v="0"/>
    <n v="0"/>
    <n v="3"/>
    <n v="1"/>
  </r>
  <r>
    <s v="Aeronautical Engineering"/>
    <s v="24BAE041"/>
    <s v="RAGUL K "/>
    <n v="1"/>
    <x v="12"/>
    <x v="12"/>
    <n v="50"/>
    <n v="0"/>
    <n v="50"/>
    <n v="0"/>
    <s v="Pass"/>
    <n v="1"/>
    <n v="5"/>
    <n v="1"/>
    <n v="0"/>
  </r>
  <r>
    <s v="Aeronautical Engineering"/>
    <s v="24BAE041"/>
    <s v="RAGUL K "/>
    <n v="1"/>
    <x v="13"/>
    <x v="13"/>
    <n v="26"/>
    <n v="35"/>
    <n v="61"/>
    <n v="-9"/>
    <s v="Pass"/>
    <n v="1"/>
    <n v="6"/>
    <n v="1"/>
    <n v="1"/>
  </r>
  <r>
    <s v="Aeronautical Engineering"/>
    <s v="24BAE041"/>
    <s v="RAGUL K "/>
    <n v="1"/>
    <x v="47"/>
    <x v="47"/>
    <n v="73"/>
    <n v="0"/>
    <n v="73"/>
    <n v="0"/>
    <s v="Pass"/>
    <n v="1"/>
    <n v="8"/>
    <n v="1"/>
    <n v="0"/>
  </r>
  <r>
    <s v="Aeronautical Engineering"/>
    <s v="24BAE041"/>
    <s v="RAGUL K "/>
    <n v="1"/>
    <x v="15"/>
    <x v="15"/>
    <n v="90"/>
    <n v="0"/>
    <n v="90"/>
    <n v="0"/>
    <s v="Pass"/>
    <n v="1"/>
    <n v="9"/>
    <n v="1"/>
    <n v="0"/>
  </r>
  <r>
    <s v="Aeronautical Engineering"/>
    <s v="24BAE041"/>
    <s v="RAGUL K "/>
    <n v="1"/>
    <x v="16"/>
    <x v="16"/>
    <n v="82"/>
    <n v="0"/>
    <n v="82"/>
    <n v="0"/>
    <s v="Pass"/>
    <n v="1"/>
    <n v="9"/>
    <n v="1"/>
    <n v="0"/>
  </r>
  <r>
    <s v="Aeronautical Engineering"/>
    <s v="24BAE041"/>
    <s v="RAGUL K "/>
    <n v="1"/>
    <x v="17"/>
    <x v="17"/>
    <n v="34"/>
    <n v="33"/>
    <n v="67"/>
    <n v="1"/>
    <s v="Pass"/>
    <n v="1"/>
    <n v="7"/>
    <n v="4"/>
    <n v="1"/>
  </r>
  <r>
    <s v="Aeronautical Engineering"/>
    <s v="24BAE041"/>
    <s v="RAGUL K "/>
    <n v="1"/>
    <x v="18"/>
    <x v="18"/>
    <n v="29"/>
    <n v="29"/>
    <n v="58"/>
    <n v="0"/>
    <s v="Pass"/>
    <n v="1"/>
    <n v="6"/>
    <n v="3"/>
    <n v="1"/>
  </r>
  <r>
    <s v="Aeronautical Engineering"/>
    <s v="24BAE041"/>
    <s v="RAGUL K "/>
    <n v="1"/>
    <x v="19"/>
    <x v="19"/>
    <n v="30"/>
    <n v="26"/>
    <n v="56"/>
    <n v="4"/>
    <s v="Pass"/>
    <n v="1"/>
    <n v="6"/>
    <n v="4"/>
    <n v="1"/>
  </r>
  <r>
    <s v="Aeronautical Engineering"/>
    <s v="24BAE042"/>
    <s v="RAJAMATHI M "/>
    <n v="2"/>
    <x v="0"/>
    <x v="0"/>
    <n v="44"/>
    <n v="41"/>
    <n v="85"/>
    <n v="3"/>
    <s v="Pass"/>
    <n v="1"/>
    <n v="8"/>
    <n v="4"/>
    <n v="1"/>
  </r>
  <r>
    <s v="Aeronautical Engineering"/>
    <s v="24BAE042"/>
    <s v="RAJAMATHI M "/>
    <n v="2"/>
    <x v="1"/>
    <x v="1"/>
    <n v="41"/>
    <n v="28"/>
    <n v="69"/>
    <n v="13"/>
    <s v="Pass"/>
    <n v="1"/>
    <n v="7"/>
    <n v="4"/>
    <n v="1"/>
  </r>
  <r>
    <s v="Aeronautical Engineering"/>
    <s v="24BAE042"/>
    <s v="RAJAMATHI M "/>
    <n v="2"/>
    <x v="2"/>
    <x v="2"/>
    <n v="86"/>
    <n v="0"/>
    <n v="86"/>
    <n v="0"/>
    <s v="Pass"/>
    <n v="1"/>
    <n v="9"/>
    <n v="1"/>
    <n v="0"/>
  </r>
  <r>
    <s v="Aeronautical Engineering"/>
    <s v="24BAE042"/>
    <s v="RAJAMATHI M "/>
    <n v="2"/>
    <x v="3"/>
    <x v="3"/>
    <n v="38"/>
    <n v="23"/>
    <n v="61"/>
    <n v="15"/>
    <s v="Pass"/>
    <n v="1"/>
    <n v="6"/>
    <n v="1"/>
    <n v="1"/>
  </r>
  <r>
    <s v="Aeronautical Engineering"/>
    <s v="24BAE042"/>
    <s v="RAJAMATHI M "/>
    <n v="2"/>
    <x v="4"/>
    <x v="4"/>
    <n v="30"/>
    <n v="34"/>
    <n v="64"/>
    <n v="-4"/>
    <s v="Pass"/>
    <n v="1"/>
    <n v="7"/>
    <n v="2"/>
    <n v="1"/>
  </r>
  <r>
    <s v="Aeronautical Engineering"/>
    <s v="24BAE042"/>
    <s v="RAJAMATHI M "/>
    <n v="2"/>
    <x v="32"/>
    <x v="32"/>
    <n v="91"/>
    <n v="0"/>
    <n v="91"/>
    <n v="0"/>
    <s v="Pass"/>
    <n v="1"/>
    <n v="10"/>
    <n v="1"/>
    <n v="0"/>
  </r>
  <r>
    <s v="Aeronautical Engineering"/>
    <s v="24BAE042"/>
    <s v="RAJAMATHI M "/>
    <n v="2"/>
    <x v="6"/>
    <x v="6"/>
    <n v="94"/>
    <n v="0"/>
    <n v="94"/>
    <n v="0"/>
    <s v="Pass"/>
    <n v="1"/>
    <n v="10"/>
    <n v="1"/>
    <n v="0"/>
  </r>
  <r>
    <s v="Aeronautical Engineering"/>
    <s v="24BAE042"/>
    <s v="RAJAMATHI M "/>
    <n v="2"/>
    <x v="7"/>
    <x v="7"/>
    <n v="43"/>
    <n v="26"/>
    <n v="69"/>
    <n v="17"/>
    <s v="Pass"/>
    <n v="1"/>
    <n v="8"/>
    <n v="4"/>
    <n v="1"/>
  </r>
  <r>
    <s v="Aeronautical Engineering"/>
    <s v="24BAE042"/>
    <s v="RAJAMATHI M "/>
    <n v="2"/>
    <x v="8"/>
    <x v="8"/>
    <n v="28"/>
    <n v="36"/>
    <n v="64"/>
    <n v="-8"/>
    <s v="Pass"/>
    <n v="1"/>
    <n v="6"/>
    <n v="3"/>
    <n v="1"/>
  </r>
  <r>
    <s v="Aeronautical Engineering"/>
    <s v="24BAE042"/>
    <s v="RAJAMATHI M "/>
    <n v="2"/>
    <x v="9"/>
    <x v="9"/>
    <n v="31"/>
    <n v="40"/>
    <n v="71"/>
    <n v="-9"/>
    <s v="Pass"/>
    <n v="1"/>
    <n v="7"/>
    <n v="3"/>
    <n v="1"/>
  </r>
  <r>
    <s v="Aeronautical Engineering"/>
    <s v="24BAE042"/>
    <s v="RAJAMATHI M "/>
    <n v="1"/>
    <x v="10"/>
    <x v="10"/>
    <n v="89"/>
    <n v="0"/>
    <n v="89"/>
    <n v="0"/>
    <s v="Pass"/>
    <n v="1"/>
    <n v="9"/>
    <n v="1"/>
    <n v="0"/>
  </r>
  <r>
    <s v="Aeronautical Engineering"/>
    <s v="24BAE042"/>
    <s v="RAJAMATHI M "/>
    <n v="1"/>
    <x v="11"/>
    <x v="11"/>
    <n v="23"/>
    <n v="33"/>
    <n v="56"/>
    <n v="-10"/>
    <s v="Pass"/>
    <n v="1"/>
    <n v="7"/>
    <n v="3"/>
    <n v="1"/>
  </r>
  <r>
    <s v="Aeronautical Engineering"/>
    <s v="24BAE042"/>
    <s v="RAJAMATHI M "/>
    <n v="1"/>
    <x v="12"/>
    <x v="12"/>
    <n v="64"/>
    <n v="0"/>
    <n v="64"/>
    <n v="0"/>
    <s v="Pass"/>
    <n v="1"/>
    <n v="7"/>
    <n v="1"/>
    <n v="0"/>
  </r>
  <r>
    <s v="Aeronautical Engineering"/>
    <s v="24BAE042"/>
    <s v="RAJAMATHI M "/>
    <n v="1"/>
    <x v="13"/>
    <x v="13"/>
    <n v="27"/>
    <n v="33"/>
    <n v="60"/>
    <n v="-6"/>
    <s v="Pass"/>
    <n v="1"/>
    <n v="6"/>
    <n v="1"/>
    <n v="1"/>
  </r>
  <r>
    <s v="Aeronautical Engineering"/>
    <s v="24BAE042"/>
    <s v="RAJAMATHI M "/>
    <n v="1"/>
    <x v="24"/>
    <x v="24"/>
    <n v="96"/>
    <n v="0"/>
    <n v="96"/>
    <n v="0"/>
    <s v="Pass"/>
    <n v="1"/>
    <n v="10"/>
    <n v="1"/>
    <n v="0"/>
  </r>
  <r>
    <s v="Aeronautical Engineering"/>
    <s v="24BAE042"/>
    <s v="RAJAMATHI M "/>
    <n v="1"/>
    <x v="15"/>
    <x v="15"/>
    <n v="100"/>
    <n v="0"/>
    <n v="100"/>
    <n v="0"/>
    <s v="Pass"/>
    <n v="1"/>
    <n v="10"/>
    <n v="1"/>
    <n v="0"/>
  </r>
  <r>
    <s v="Aeronautical Engineering"/>
    <s v="24BAE042"/>
    <s v="RAJAMATHI M "/>
    <n v="1"/>
    <x v="16"/>
    <x v="16"/>
    <n v="86"/>
    <n v="0"/>
    <n v="86"/>
    <n v="0"/>
    <s v="Pass"/>
    <n v="1"/>
    <n v="9"/>
    <n v="1"/>
    <n v="0"/>
  </r>
  <r>
    <s v="Aeronautical Engineering"/>
    <s v="24BAE042"/>
    <s v="RAJAMATHI M "/>
    <n v="1"/>
    <x v="17"/>
    <x v="17"/>
    <n v="43"/>
    <n v="46"/>
    <n v="89"/>
    <n v="-3"/>
    <s v="Pass"/>
    <n v="1"/>
    <n v="9"/>
    <n v="4"/>
    <n v="1"/>
  </r>
  <r>
    <s v="Aeronautical Engineering"/>
    <s v="24BAE042"/>
    <s v="RAJAMATHI M "/>
    <n v="1"/>
    <x v="18"/>
    <x v="18"/>
    <n v="37"/>
    <n v="43"/>
    <n v="80"/>
    <n v="-6"/>
    <s v="Pass"/>
    <n v="1"/>
    <n v="8"/>
    <n v="3"/>
    <n v="1"/>
  </r>
  <r>
    <s v="Aeronautical Engineering"/>
    <s v="24BAE042"/>
    <s v="RAJAMATHI M "/>
    <n v="1"/>
    <x v="19"/>
    <x v="19"/>
    <n v="37"/>
    <n v="35"/>
    <n v="72"/>
    <n v="2"/>
    <s v="Pass"/>
    <n v="1"/>
    <n v="8"/>
    <n v="4"/>
    <n v="1"/>
  </r>
  <r>
    <s v="Aeronautical Engineering"/>
    <s v="24BAE043"/>
    <s v="RAVI SHANKAR S "/>
    <n v="2"/>
    <x v="0"/>
    <x v="0"/>
    <n v="45"/>
    <n v="31"/>
    <n v="76"/>
    <n v="14"/>
    <s v="Pass"/>
    <n v="1"/>
    <n v="8"/>
    <n v="4"/>
    <n v="1"/>
  </r>
  <r>
    <s v="Aeronautical Engineering"/>
    <s v="24BAE043"/>
    <s v="RAVI SHANKAR S "/>
    <n v="2"/>
    <x v="1"/>
    <x v="1"/>
    <n v="44"/>
    <n v="31"/>
    <n v="75"/>
    <n v="13"/>
    <s v="Pass"/>
    <n v="1"/>
    <n v="8"/>
    <n v="4"/>
    <n v="1"/>
  </r>
  <r>
    <s v="Aeronautical Engineering"/>
    <s v="24BAE043"/>
    <s v="RAVI SHANKAR S "/>
    <n v="2"/>
    <x v="2"/>
    <x v="2"/>
    <n v="84"/>
    <n v="0"/>
    <n v="84"/>
    <n v="0"/>
    <s v="Pass"/>
    <n v="1"/>
    <n v="9"/>
    <n v="1"/>
    <n v="0"/>
  </r>
  <r>
    <s v="Aeronautical Engineering"/>
    <s v="24BAE043"/>
    <s v="RAVI SHANKAR S "/>
    <n v="2"/>
    <x v="3"/>
    <x v="3"/>
    <n v="34"/>
    <n v="31"/>
    <n v="65"/>
    <n v="3"/>
    <s v="Pass"/>
    <n v="1"/>
    <n v="7"/>
    <n v="1"/>
    <n v="1"/>
  </r>
  <r>
    <s v="Aeronautical Engineering"/>
    <s v="24BAE043"/>
    <s v="RAVI SHANKAR S "/>
    <n v="2"/>
    <x v="4"/>
    <x v="4"/>
    <n v="32"/>
    <n v="37"/>
    <n v="69"/>
    <n v="-5"/>
    <s v="Pass"/>
    <n v="1"/>
    <n v="7"/>
    <n v="2"/>
    <n v="1"/>
  </r>
  <r>
    <s v="Aeronautical Engineering"/>
    <s v="24BAE043"/>
    <s v="RAVI SHANKAR S "/>
    <n v="2"/>
    <x v="44"/>
    <x v="44"/>
    <n v="93"/>
    <n v="0"/>
    <n v="93"/>
    <n v="0"/>
    <s v="Pass"/>
    <n v="1"/>
    <n v="10"/>
    <n v="1"/>
    <n v="0"/>
  </r>
  <r>
    <s v="Aeronautical Engineering"/>
    <s v="24BAE043"/>
    <s v="RAVI SHANKAR S "/>
    <n v="2"/>
    <x v="6"/>
    <x v="6"/>
    <n v="94"/>
    <n v="0"/>
    <n v="94"/>
    <n v="0"/>
    <s v="Pass"/>
    <n v="1"/>
    <n v="10"/>
    <n v="1"/>
    <n v="0"/>
  </r>
  <r>
    <s v="Aeronautical Engineering"/>
    <s v="24BAE043"/>
    <s v="RAVI SHANKAR S "/>
    <n v="2"/>
    <x v="7"/>
    <x v="7"/>
    <n v="43"/>
    <n v="31"/>
    <n v="74"/>
    <n v="12"/>
    <s v="Pass"/>
    <n v="1"/>
    <n v="8"/>
    <n v="4"/>
    <n v="1"/>
  </r>
  <r>
    <s v="Aeronautical Engineering"/>
    <s v="24BAE043"/>
    <s v="RAVI SHANKAR S "/>
    <n v="2"/>
    <x v="8"/>
    <x v="8"/>
    <n v="35"/>
    <n v="43"/>
    <n v="78"/>
    <n v="-8"/>
    <s v="Pass"/>
    <n v="1"/>
    <n v="8"/>
    <n v="3"/>
    <n v="1"/>
  </r>
  <r>
    <s v="Aeronautical Engineering"/>
    <s v="24BAE043"/>
    <s v="RAVI SHANKAR S "/>
    <n v="2"/>
    <x v="9"/>
    <x v="9"/>
    <n v="35"/>
    <n v="46"/>
    <n v="81"/>
    <n v="-11"/>
    <s v="Pass"/>
    <n v="1"/>
    <n v="8"/>
    <n v="3"/>
    <n v="1"/>
  </r>
  <r>
    <s v="Aeronautical Engineering"/>
    <s v="24BAE043"/>
    <s v="RAVI SHANKAR S "/>
    <n v="1"/>
    <x v="10"/>
    <x v="10"/>
    <n v="92"/>
    <n v="0"/>
    <n v="92"/>
    <n v="0"/>
    <s v="Pass"/>
    <n v="1"/>
    <n v="10"/>
    <n v="1"/>
    <n v="0"/>
  </r>
  <r>
    <s v="Aeronautical Engineering"/>
    <s v="24BAE043"/>
    <s v="RAVI SHANKAR S "/>
    <n v="1"/>
    <x v="11"/>
    <x v="11"/>
    <n v="21"/>
    <n v="30"/>
    <n v="51"/>
    <n v="-9"/>
    <s v="Pass"/>
    <n v="1"/>
    <n v="6"/>
    <n v="3"/>
    <n v="1"/>
  </r>
  <r>
    <s v="Aeronautical Engineering"/>
    <s v="24BAE043"/>
    <s v="RAVI SHANKAR S "/>
    <n v="1"/>
    <x v="12"/>
    <x v="12"/>
    <n v="84"/>
    <n v="0"/>
    <n v="84"/>
    <n v="0"/>
    <s v="Pass"/>
    <n v="1"/>
    <n v="9"/>
    <n v="1"/>
    <n v="0"/>
  </r>
  <r>
    <s v="Aeronautical Engineering"/>
    <s v="24BAE043"/>
    <s v="RAVI SHANKAR S "/>
    <n v="1"/>
    <x v="13"/>
    <x v="13"/>
    <n v="26"/>
    <n v="44"/>
    <n v="70"/>
    <n v="-18"/>
    <s v="Pass"/>
    <n v="1"/>
    <n v="7"/>
    <n v="1"/>
    <n v="1"/>
  </r>
  <r>
    <s v="Aeronautical Engineering"/>
    <s v="24BAE043"/>
    <s v="RAVI SHANKAR S "/>
    <n v="1"/>
    <x v="14"/>
    <x v="14"/>
    <n v="55"/>
    <n v="0"/>
    <n v="55"/>
    <n v="0"/>
    <s v="Pass"/>
    <n v="1"/>
    <n v="5"/>
    <n v="1"/>
    <n v="0"/>
  </r>
  <r>
    <s v="Aeronautical Engineering"/>
    <s v="24BAE043"/>
    <s v="RAVI SHANKAR S "/>
    <n v="1"/>
    <x v="15"/>
    <x v="15"/>
    <n v="90"/>
    <n v="0"/>
    <n v="90"/>
    <n v="0"/>
    <s v="Pass"/>
    <n v="1"/>
    <n v="9"/>
    <n v="1"/>
    <n v="0"/>
  </r>
  <r>
    <s v="Aeronautical Engineering"/>
    <s v="24BAE043"/>
    <s v="RAVI SHANKAR S "/>
    <n v="1"/>
    <x v="16"/>
    <x v="16"/>
    <n v="80"/>
    <n v="0"/>
    <n v="80"/>
    <n v="0"/>
    <s v="Pass"/>
    <n v="1"/>
    <n v="8"/>
    <n v="1"/>
    <n v="0"/>
  </r>
  <r>
    <s v="Aeronautical Engineering"/>
    <s v="24BAE043"/>
    <s v="RAVI SHANKAR S "/>
    <n v="1"/>
    <x v="17"/>
    <x v="17"/>
    <n v="41"/>
    <n v="35"/>
    <n v="76"/>
    <n v="6"/>
    <s v="Pass"/>
    <n v="1"/>
    <n v="8"/>
    <n v="4"/>
    <n v="1"/>
  </r>
  <r>
    <s v="Aeronautical Engineering"/>
    <s v="24BAE043"/>
    <s v="RAVI SHANKAR S "/>
    <n v="1"/>
    <x v="18"/>
    <x v="18"/>
    <n v="31"/>
    <n v="36"/>
    <n v="67"/>
    <n v="-5"/>
    <s v="Pass"/>
    <n v="1"/>
    <n v="7"/>
    <n v="3"/>
    <n v="1"/>
  </r>
  <r>
    <s v="Aeronautical Engineering"/>
    <s v="24BAE043"/>
    <s v="RAVI SHANKAR S "/>
    <n v="1"/>
    <x v="19"/>
    <x v="19"/>
    <n v="38"/>
    <n v="46"/>
    <n v="84"/>
    <n v="-8"/>
    <s v="Pass"/>
    <n v="1"/>
    <n v="9"/>
    <n v="4"/>
    <n v="1"/>
  </r>
  <r>
    <s v="Aeronautical Engineering"/>
    <s v="24BAE044"/>
    <s v="RITHANI R S "/>
    <n v="2"/>
    <x v="7"/>
    <x v="7"/>
    <n v="34"/>
    <n v="11"/>
    <n v="45"/>
    <n v="23"/>
    <s v="Fail"/>
    <n v="0"/>
    <n v="0"/>
    <n v="4"/>
    <n v="1"/>
  </r>
  <r>
    <s v="Aeronautical Engineering"/>
    <s v="24BAE044"/>
    <s v="RITHANI R S "/>
    <n v="2"/>
    <x v="0"/>
    <x v="0"/>
    <n v="43"/>
    <n v="40"/>
    <n v="83"/>
    <n v="3"/>
    <s v="Pass"/>
    <n v="1"/>
    <n v="8"/>
    <n v="4"/>
    <n v="1"/>
  </r>
  <r>
    <s v="Aeronautical Engineering"/>
    <s v="24BAE044"/>
    <s v="RITHANI R S "/>
    <n v="2"/>
    <x v="1"/>
    <x v="1"/>
    <n v="44"/>
    <n v="25"/>
    <n v="69"/>
    <n v="19"/>
    <s v="Pass"/>
    <n v="1"/>
    <n v="7"/>
    <n v="4"/>
    <n v="1"/>
  </r>
  <r>
    <s v="Aeronautical Engineering"/>
    <s v="24BAE044"/>
    <s v="RITHANI R S "/>
    <n v="2"/>
    <x v="11"/>
    <x v="11"/>
    <n v="19"/>
    <n v="31"/>
    <n v="50"/>
    <n v="-12"/>
    <s v="Pass"/>
    <n v="1"/>
    <n v="5"/>
    <n v="3"/>
    <n v="1"/>
  </r>
  <r>
    <s v="Aeronautical Engineering"/>
    <s v="24BAE044"/>
    <s v="RITHANI R S "/>
    <n v="2"/>
    <x v="2"/>
    <x v="2"/>
    <n v="91"/>
    <n v="0"/>
    <n v="91"/>
    <n v="0"/>
    <s v="Pass"/>
    <n v="1"/>
    <n v="10"/>
    <n v="1"/>
    <n v="0"/>
  </r>
  <r>
    <s v="Aeronautical Engineering"/>
    <s v="24BAE044"/>
    <s v="RITHANI R S "/>
    <n v="2"/>
    <x v="3"/>
    <x v="3"/>
    <n v="38"/>
    <n v="37"/>
    <n v="75"/>
    <n v="1"/>
    <s v="Pass"/>
    <n v="1"/>
    <n v="8"/>
    <n v="1"/>
    <n v="1"/>
  </r>
  <r>
    <s v="Aeronautical Engineering"/>
    <s v="24BAE044"/>
    <s v="RITHANI R S "/>
    <n v="2"/>
    <x v="4"/>
    <x v="4"/>
    <n v="34"/>
    <n v="43"/>
    <n v="77"/>
    <n v="-9"/>
    <s v="Pass"/>
    <n v="1"/>
    <n v="8"/>
    <n v="2"/>
    <n v="1"/>
  </r>
  <r>
    <s v="Aeronautical Engineering"/>
    <s v="24BAE044"/>
    <s v="RITHANI R S "/>
    <n v="2"/>
    <x v="51"/>
    <x v="51"/>
    <n v="77"/>
    <n v="0"/>
    <n v="77"/>
    <n v="0"/>
    <s v="Pass"/>
    <n v="1"/>
    <n v="8"/>
    <n v="1"/>
    <n v="0"/>
  </r>
  <r>
    <s v="Aeronautical Engineering"/>
    <s v="24BAE044"/>
    <s v="RITHANI R S "/>
    <n v="2"/>
    <x v="6"/>
    <x v="6"/>
    <n v="94"/>
    <n v="0"/>
    <n v="94"/>
    <n v="0"/>
    <s v="Pass"/>
    <n v="1"/>
    <n v="10"/>
    <n v="1"/>
    <n v="0"/>
  </r>
  <r>
    <s v="Aeronautical Engineering"/>
    <s v="24BAE044"/>
    <s v="RITHANI R S "/>
    <n v="2"/>
    <x v="8"/>
    <x v="8"/>
    <n v="20"/>
    <n v="40"/>
    <n v="60"/>
    <n v="-20"/>
    <s v="Pass"/>
    <n v="1"/>
    <n v="6"/>
    <n v="3"/>
    <n v="1"/>
  </r>
  <r>
    <s v="Aeronautical Engineering"/>
    <s v="24BAE044"/>
    <s v="RITHANI R S "/>
    <n v="2"/>
    <x v="9"/>
    <x v="9"/>
    <n v="24"/>
    <n v="53"/>
    <n v="77"/>
    <n v="-29"/>
    <s v="Pass"/>
    <n v="1"/>
    <n v="8"/>
    <n v="3"/>
    <n v="1"/>
  </r>
  <r>
    <s v="Aeronautical Engineering"/>
    <s v="24BAE044"/>
    <s v="RITHANI R S "/>
    <n v="1"/>
    <x v="10"/>
    <x v="10"/>
    <n v="93"/>
    <n v="0"/>
    <n v="93"/>
    <n v="0"/>
    <s v="Pass"/>
    <n v="1"/>
    <n v="10"/>
    <n v="1"/>
    <n v="0"/>
  </r>
  <r>
    <s v="Aeronautical Engineering"/>
    <s v="24BAE044"/>
    <s v="RITHANI R S "/>
    <n v="1"/>
    <x v="11"/>
    <x v="11"/>
    <n v="19"/>
    <n v="16"/>
    <n v="35"/>
    <n v="3"/>
    <s v="Fail"/>
    <n v="0"/>
    <n v="0"/>
    <n v="3"/>
    <n v="1"/>
  </r>
  <r>
    <s v="Aeronautical Engineering"/>
    <s v="24BAE044"/>
    <s v="RITHANI R S "/>
    <n v="1"/>
    <x v="12"/>
    <x v="12"/>
    <n v="62"/>
    <n v="0"/>
    <n v="62"/>
    <n v="0"/>
    <s v="Pass"/>
    <n v="1"/>
    <n v="7"/>
    <n v="1"/>
    <n v="0"/>
  </r>
  <r>
    <s v="Aeronautical Engineering"/>
    <s v="24BAE044"/>
    <s v="RITHANI R S "/>
    <n v="1"/>
    <x v="13"/>
    <x v="13"/>
    <n v="34"/>
    <n v="43"/>
    <n v="77"/>
    <n v="-9"/>
    <s v="Pass"/>
    <n v="1"/>
    <n v="8"/>
    <n v="1"/>
    <n v="1"/>
  </r>
  <r>
    <s v="Aeronautical Engineering"/>
    <s v="24BAE044"/>
    <s v="RITHANI R S "/>
    <n v="1"/>
    <x v="28"/>
    <x v="28"/>
    <n v="99"/>
    <n v="0"/>
    <n v="99"/>
    <n v="0"/>
    <s v="Pass"/>
    <n v="1"/>
    <n v="10"/>
    <n v="1"/>
    <n v="0"/>
  </r>
  <r>
    <s v="Aeronautical Engineering"/>
    <s v="24BAE044"/>
    <s v="RITHANI R S "/>
    <n v="1"/>
    <x v="15"/>
    <x v="15"/>
    <n v="90"/>
    <n v="0"/>
    <n v="90"/>
    <n v="0"/>
    <s v="Pass"/>
    <n v="1"/>
    <n v="9"/>
    <n v="1"/>
    <n v="0"/>
  </r>
  <r>
    <s v="Aeronautical Engineering"/>
    <s v="24BAE044"/>
    <s v="RITHANI R S "/>
    <n v="1"/>
    <x v="16"/>
    <x v="16"/>
    <n v="86"/>
    <n v="0"/>
    <n v="86"/>
    <n v="0"/>
    <s v="Pass"/>
    <n v="1"/>
    <n v="9"/>
    <n v="1"/>
    <n v="0"/>
  </r>
  <r>
    <s v="Aeronautical Engineering"/>
    <s v="24BAE044"/>
    <s v="RITHANI R S "/>
    <n v="1"/>
    <x v="17"/>
    <x v="17"/>
    <n v="34"/>
    <n v="23"/>
    <n v="57"/>
    <n v="11"/>
    <s v="Pass"/>
    <n v="1"/>
    <n v="6"/>
    <n v="4"/>
    <n v="1"/>
  </r>
  <r>
    <s v="Aeronautical Engineering"/>
    <s v="24BAE044"/>
    <s v="RITHANI R S "/>
    <n v="1"/>
    <x v="18"/>
    <x v="18"/>
    <n v="30"/>
    <n v="40"/>
    <n v="70"/>
    <n v="-10"/>
    <s v="Pass"/>
    <n v="1"/>
    <n v="7"/>
    <n v="3"/>
    <n v="1"/>
  </r>
  <r>
    <s v="Aeronautical Engineering"/>
    <s v="24BAE044"/>
    <s v="RITHANI R S "/>
    <n v="1"/>
    <x v="19"/>
    <x v="19"/>
    <n v="36"/>
    <n v="32"/>
    <n v="68"/>
    <n v="4"/>
    <s v="Pass"/>
    <n v="1"/>
    <n v="8"/>
    <n v="4"/>
    <n v="1"/>
  </r>
  <r>
    <s v="Aeronautical Engineering"/>
    <s v="24BAE045"/>
    <s v="SANJAY S "/>
    <n v="2"/>
    <x v="0"/>
    <x v="0"/>
    <n v="46"/>
    <n v="33"/>
    <n v="79"/>
    <n v="13"/>
    <s v="Pass"/>
    <n v="1"/>
    <n v="8"/>
    <n v="4"/>
    <n v="1"/>
  </r>
  <r>
    <s v="Aeronautical Engineering"/>
    <s v="24BAE045"/>
    <s v="SANJAY S "/>
    <n v="2"/>
    <x v="1"/>
    <x v="1"/>
    <n v="41"/>
    <n v="29"/>
    <n v="70"/>
    <n v="12"/>
    <s v="Pass"/>
    <n v="1"/>
    <n v="7"/>
    <n v="4"/>
    <n v="1"/>
  </r>
  <r>
    <s v="Aeronautical Engineering"/>
    <s v="24BAE045"/>
    <s v="SANJAY S "/>
    <n v="2"/>
    <x v="2"/>
    <x v="2"/>
    <n v="82"/>
    <n v="0"/>
    <n v="82"/>
    <n v="0"/>
    <s v="Pass"/>
    <n v="1"/>
    <n v="9"/>
    <n v="1"/>
    <n v="0"/>
  </r>
  <r>
    <s v="Aeronautical Engineering"/>
    <s v="24BAE045"/>
    <s v="SANJAY S "/>
    <n v="2"/>
    <x v="3"/>
    <x v="3"/>
    <n v="42"/>
    <n v="36"/>
    <n v="78"/>
    <n v="6"/>
    <s v="Pass"/>
    <n v="1"/>
    <n v="8"/>
    <n v="1"/>
    <n v="1"/>
  </r>
  <r>
    <s v="Aeronautical Engineering"/>
    <s v="24BAE045"/>
    <s v="SANJAY S "/>
    <n v="2"/>
    <x v="20"/>
    <x v="20"/>
    <n v="20"/>
    <n v="43"/>
    <n v="63"/>
    <n v="-23"/>
    <s v="Pass"/>
    <n v="1"/>
    <n v="7"/>
    <n v="2"/>
    <n v="1"/>
  </r>
  <r>
    <s v="Aeronautical Engineering"/>
    <s v="24BAE045"/>
    <s v="SANJAY S "/>
    <n v="2"/>
    <x v="22"/>
    <x v="22"/>
    <n v="86"/>
    <n v="0"/>
    <n v="86"/>
    <n v="0"/>
    <s v="Pass"/>
    <n v="1"/>
    <n v="9"/>
    <n v="1"/>
    <n v="0"/>
  </r>
  <r>
    <s v="Aeronautical Engineering"/>
    <s v="24BAE045"/>
    <s v="SANJAY S "/>
    <n v="2"/>
    <x v="6"/>
    <x v="6"/>
    <n v="94"/>
    <n v="0"/>
    <n v="94"/>
    <n v="0"/>
    <s v="Pass"/>
    <n v="1"/>
    <n v="10"/>
    <n v="1"/>
    <n v="0"/>
  </r>
  <r>
    <s v="Aeronautical Engineering"/>
    <s v="24BAE045"/>
    <s v="SANJAY S "/>
    <n v="2"/>
    <x v="7"/>
    <x v="7"/>
    <n v="38"/>
    <n v="25"/>
    <n v="63"/>
    <n v="13"/>
    <s v="Pass"/>
    <n v="1"/>
    <n v="7"/>
    <n v="4"/>
    <n v="1"/>
  </r>
  <r>
    <s v="Aeronautical Engineering"/>
    <s v="24BAE045"/>
    <s v="SANJAY S "/>
    <n v="2"/>
    <x v="8"/>
    <x v="8"/>
    <n v="21"/>
    <n v="31"/>
    <n v="52"/>
    <n v="-10"/>
    <s v="Pass"/>
    <n v="1"/>
    <n v="5"/>
    <n v="3"/>
    <n v="1"/>
  </r>
  <r>
    <s v="Aeronautical Engineering"/>
    <s v="24BAE045"/>
    <s v="SANJAY S "/>
    <n v="2"/>
    <x v="9"/>
    <x v="9"/>
    <n v="34"/>
    <n v="44"/>
    <n v="78"/>
    <n v="-10"/>
    <s v="Pass"/>
    <n v="1"/>
    <n v="8"/>
    <n v="3"/>
    <n v="1"/>
  </r>
  <r>
    <s v="Aeronautical Engineering"/>
    <s v="24BAE045"/>
    <s v="SANJAY S "/>
    <n v="1"/>
    <x v="10"/>
    <x v="10"/>
    <n v="87"/>
    <n v="0"/>
    <n v="87"/>
    <n v="0"/>
    <s v="Pass"/>
    <n v="1"/>
    <n v="9"/>
    <n v="1"/>
    <n v="0"/>
  </r>
  <r>
    <s v="Aeronautical Engineering"/>
    <s v="24BAE045"/>
    <s v="SANJAY S "/>
    <n v="1"/>
    <x v="11"/>
    <x v="11"/>
    <n v="22"/>
    <n v="30"/>
    <n v="52"/>
    <n v="-8"/>
    <s v="Pass"/>
    <n v="1"/>
    <n v="6"/>
    <n v="3"/>
    <n v="1"/>
  </r>
  <r>
    <s v="Aeronautical Engineering"/>
    <s v="24BAE045"/>
    <s v="SANJAY S "/>
    <n v="1"/>
    <x v="12"/>
    <x v="12"/>
    <n v="90"/>
    <n v="0"/>
    <n v="90"/>
    <n v="0"/>
    <s v="Pass"/>
    <n v="1"/>
    <n v="9"/>
    <n v="1"/>
    <n v="0"/>
  </r>
  <r>
    <s v="Aeronautical Engineering"/>
    <s v="24BAE045"/>
    <s v="SANJAY S "/>
    <n v="1"/>
    <x v="13"/>
    <x v="13"/>
    <n v="34"/>
    <n v="39"/>
    <n v="73"/>
    <n v="-5"/>
    <s v="Pass"/>
    <n v="1"/>
    <n v="7"/>
    <n v="1"/>
    <n v="1"/>
  </r>
  <r>
    <s v="Aeronautical Engineering"/>
    <s v="24BAE045"/>
    <s v="SANJAY S "/>
    <n v="1"/>
    <x v="27"/>
    <x v="27"/>
    <n v="58"/>
    <n v="38"/>
    <n v="96"/>
    <n v="20"/>
    <s v="Pass"/>
    <n v="1"/>
    <n v="10"/>
    <n v="3"/>
    <n v="1"/>
  </r>
  <r>
    <s v="Aeronautical Engineering"/>
    <s v="24BAE045"/>
    <s v="SANJAY S "/>
    <n v="1"/>
    <x v="17"/>
    <x v="17"/>
    <n v="45"/>
    <n v="34"/>
    <n v="79"/>
    <n v="11"/>
    <s v="Pass"/>
    <n v="1"/>
    <n v="8"/>
    <n v="4"/>
    <n v="1"/>
  </r>
  <r>
    <s v="Aeronautical Engineering"/>
    <s v="24BAE045"/>
    <s v="SANJAY S "/>
    <n v="1"/>
    <x v="18"/>
    <x v="18"/>
    <n v="47"/>
    <n v="36"/>
    <n v="83"/>
    <n v="11"/>
    <s v="Pass"/>
    <n v="1"/>
    <n v="8"/>
    <n v="3"/>
    <n v="1"/>
  </r>
  <r>
    <s v="Aeronautical Engineering"/>
    <s v="24BAE045"/>
    <s v="SANJAY S "/>
    <n v="1"/>
    <x v="19"/>
    <x v="19"/>
    <n v="43"/>
    <n v="44"/>
    <n v="87"/>
    <n v="-1"/>
    <s v="Pass"/>
    <n v="1"/>
    <n v="10"/>
    <n v="4"/>
    <n v="1"/>
  </r>
  <r>
    <s v="Aeronautical Engineering"/>
    <s v="24BAE047"/>
    <s v="SHANMUGAKAVI R "/>
    <n v="2"/>
    <x v="20"/>
    <x v="20"/>
    <n v="28"/>
    <n v="22"/>
    <n v="50"/>
    <n v="6"/>
    <s v="Fail"/>
    <n v="0"/>
    <n v="0"/>
    <n v="2"/>
    <n v="1"/>
  </r>
  <r>
    <s v="Aeronautical Engineering"/>
    <s v="24BAE047"/>
    <s v="SHANMUGAKAVI R "/>
    <n v="2"/>
    <x v="7"/>
    <x v="7"/>
    <n v="29"/>
    <n v="2"/>
    <n v="31"/>
    <n v="27"/>
    <s v="Fail"/>
    <n v="0"/>
    <n v="0"/>
    <n v="4"/>
    <n v="1"/>
  </r>
  <r>
    <s v="Aeronautical Engineering"/>
    <s v="24BAE047"/>
    <s v="SHANMUGAKAVI R "/>
    <n v="2"/>
    <x v="8"/>
    <x v="8"/>
    <n v="14"/>
    <n v="16"/>
    <n v="30"/>
    <n v="-2"/>
    <s v="Fail"/>
    <n v="0"/>
    <n v="0"/>
    <n v="3"/>
    <n v="1"/>
  </r>
  <r>
    <s v="Aeronautical Engineering"/>
    <s v="24BAE047"/>
    <s v="SHANMUGAKAVI R "/>
    <n v="2"/>
    <x v="0"/>
    <x v="0"/>
    <n v="34"/>
    <n v="29"/>
    <n v="63"/>
    <n v="5"/>
    <s v="Pass"/>
    <n v="1"/>
    <n v="7"/>
    <n v="4"/>
    <n v="1"/>
  </r>
  <r>
    <s v="Aeronautical Engineering"/>
    <s v="24BAE047"/>
    <s v="SHANMUGAKAVI R "/>
    <n v="2"/>
    <x v="1"/>
    <x v="1"/>
    <n v="38"/>
    <n v="25"/>
    <n v="63"/>
    <n v="13"/>
    <s v="Pass"/>
    <n v="1"/>
    <n v="7"/>
    <n v="4"/>
    <n v="1"/>
  </r>
  <r>
    <s v="Aeronautical Engineering"/>
    <s v="24BAE047"/>
    <s v="SHANMUGAKAVI R "/>
    <n v="2"/>
    <x v="11"/>
    <x v="11"/>
    <n v="15"/>
    <n v="37"/>
    <n v="52"/>
    <n v="-22"/>
    <s v="Pass"/>
    <n v="1"/>
    <n v="6"/>
    <n v="3"/>
    <n v="1"/>
  </r>
  <r>
    <s v="Aeronautical Engineering"/>
    <s v="24BAE047"/>
    <s v="SHANMUGAKAVI R "/>
    <n v="2"/>
    <x v="2"/>
    <x v="2"/>
    <n v="55"/>
    <n v="0"/>
    <n v="55"/>
    <n v="0"/>
    <s v="Pass"/>
    <n v="1"/>
    <n v="5"/>
    <n v="1"/>
    <n v="0"/>
  </r>
  <r>
    <s v="Aeronautical Engineering"/>
    <s v="24BAE047"/>
    <s v="SHANMUGAKAVI R "/>
    <n v="2"/>
    <x v="3"/>
    <x v="3"/>
    <n v="34"/>
    <n v="30"/>
    <n v="64"/>
    <n v="4"/>
    <s v="Pass"/>
    <n v="1"/>
    <n v="7"/>
    <n v="1"/>
    <n v="1"/>
  </r>
  <r>
    <s v="Aeronautical Engineering"/>
    <s v="24BAE047"/>
    <s v="SHANMUGAKAVI R "/>
    <n v="2"/>
    <x v="31"/>
    <x v="31"/>
    <n v="74"/>
    <n v="0"/>
    <n v="74"/>
    <n v="0"/>
    <s v="Pass"/>
    <n v="1"/>
    <n v="8"/>
    <n v="1"/>
    <n v="0"/>
  </r>
  <r>
    <s v="Aeronautical Engineering"/>
    <s v="24BAE047"/>
    <s v="SHANMUGAKAVI R "/>
    <n v="2"/>
    <x v="6"/>
    <x v="6"/>
    <n v="94"/>
    <n v="0"/>
    <n v="94"/>
    <n v="0"/>
    <s v="Pass"/>
    <n v="1"/>
    <n v="10"/>
    <n v="1"/>
    <n v="0"/>
  </r>
  <r>
    <s v="Aeronautical Engineering"/>
    <s v="24BAE047"/>
    <s v="SHANMUGAKAVI R "/>
    <n v="2"/>
    <x v="17"/>
    <x v="17"/>
    <n v="30"/>
    <n v="5"/>
    <n v="35"/>
    <n v="25"/>
    <s v="Fail"/>
    <n v="0"/>
    <n v="0"/>
    <n v="4"/>
    <n v="1"/>
  </r>
  <r>
    <s v="Aeronautical Engineering"/>
    <s v="24BAE047"/>
    <s v="SHANMUGAKAVI R "/>
    <n v="2"/>
    <x v="9"/>
    <x v="9"/>
    <n v="23"/>
    <n v="30"/>
    <n v="53"/>
    <n v="-7"/>
    <s v="Pass"/>
    <n v="1"/>
    <n v="5"/>
    <n v="3"/>
    <n v="1"/>
  </r>
  <r>
    <s v="Aeronautical Engineering"/>
    <s v="24BAE047"/>
    <s v="SHANMUGAKAVI R "/>
    <n v="1"/>
    <x v="10"/>
    <x v="10"/>
    <n v="87"/>
    <n v="0"/>
    <n v="87"/>
    <n v="0"/>
    <s v="Pass"/>
    <n v="1"/>
    <n v="9"/>
    <n v="1"/>
    <n v="0"/>
  </r>
  <r>
    <s v="Aeronautical Engineering"/>
    <s v="24BAE047"/>
    <s v="SHANMUGAKAVI R "/>
    <n v="1"/>
    <x v="11"/>
    <x v="11"/>
    <n v="15"/>
    <n v="11"/>
    <n v="26"/>
    <n v="4"/>
    <s v="Fail"/>
    <n v="0"/>
    <n v="0"/>
    <n v="3"/>
    <n v="1"/>
  </r>
  <r>
    <s v="Aeronautical Engineering"/>
    <s v="24BAE047"/>
    <s v="SHANMUGAKAVI R "/>
    <n v="1"/>
    <x v="12"/>
    <x v="12"/>
    <n v="57"/>
    <n v="0"/>
    <n v="57"/>
    <n v="0"/>
    <s v="Pass"/>
    <n v="1"/>
    <n v="6"/>
    <n v="1"/>
    <n v="0"/>
  </r>
  <r>
    <s v="Aeronautical Engineering"/>
    <s v="24BAE047"/>
    <s v="SHANMUGAKAVI R "/>
    <n v="1"/>
    <x v="13"/>
    <x v="13"/>
    <n v="27"/>
    <n v="33"/>
    <n v="60"/>
    <n v="-6"/>
    <s v="Pass"/>
    <n v="1"/>
    <n v="6"/>
    <n v="1"/>
    <n v="1"/>
  </r>
  <r>
    <s v="Aeronautical Engineering"/>
    <s v="24BAE047"/>
    <s v="SHANMUGAKAVI R "/>
    <n v="1"/>
    <x v="52"/>
    <x v="52"/>
    <n v="87"/>
    <n v="0"/>
    <n v="87"/>
    <n v="0"/>
    <s v="Pass"/>
    <n v="1"/>
    <n v="9"/>
    <n v="1"/>
    <n v="0"/>
  </r>
  <r>
    <s v="Aeronautical Engineering"/>
    <s v="24BAE047"/>
    <s v="SHANMUGAKAVI R "/>
    <n v="1"/>
    <x v="15"/>
    <x v="15"/>
    <n v="100"/>
    <n v="0"/>
    <n v="100"/>
    <n v="0"/>
    <s v="Pass"/>
    <n v="1"/>
    <n v="10"/>
    <n v="1"/>
    <n v="0"/>
  </r>
  <r>
    <s v="Aeronautical Engineering"/>
    <s v="24BAE047"/>
    <s v="SHANMUGAKAVI R "/>
    <n v="1"/>
    <x v="16"/>
    <x v="16"/>
    <n v="85"/>
    <n v="0"/>
    <n v="85"/>
    <n v="0"/>
    <s v="Pass"/>
    <n v="1"/>
    <n v="9"/>
    <n v="1"/>
    <n v="0"/>
  </r>
  <r>
    <s v="Aeronautical Engineering"/>
    <s v="24BAE047"/>
    <s v="SHANMUGAKAVI R "/>
    <n v="1"/>
    <x v="17"/>
    <x v="17"/>
    <n v="30"/>
    <n v="11"/>
    <n v="41"/>
    <n v="19"/>
    <s v="Fail"/>
    <n v="0"/>
    <n v="0"/>
    <n v="4"/>
    <n v="1"/>
  </r>
  <r>
    <s v="Aeronautical Engineering"/>
    <s v="24BAE047"/>
    <s v="SHANMUGAKAVI R "/>
    <n v="1"/>
    <x v="18"/>
    <x v="18"/>
    <n v="29"/>
    <n v="35"/>
    <n v="64"/>
    <n v="-6"/>
    <s v="Pass"/>
    <n v="1"/>
    <n v="7"/>
    <n v="3"/>
    <n v="1"/>
  </r>
  <r>
    <s v="Aeronautical Engineering"/>
    <s v="24BAE047"/>
    <s v="SHANMUGAKAVI R "/>
    <n v="1"/>
    <x v="19"/>
    <x v="19"/>
    <n v="30"/>
    <n v="27"/>
    <n v="57"/>
    <n v="3"/>
    <s v="Pass"/>
    <n v="1"/>
    <n v="6"/>
    <n v="4"/>
    <n v="1"/>
  </r>
  <r>
    <s v="Aeronautical Engineering"/>
    <s v="24BAE048"/>
    <s v="SHASWANTH M "/>
    <n v="2"/>
    <x v="7"/>
    <x v="7"/>
    <n v="27"/>
    <n v="1"/>
    <n v="28"/>
    <n v="26"/>
    <s v="Fail"/>
    <n v="0"/>
    <n v="0"/>
    <n v="4"/>
    <n v="1"/>
  </r>
  <r>
    <s v="Aeronautical Engineering"/>
    <s v="24BAE048"/>
    <s v="SHASWANTH M "/>
    <n v="2"/>
    <x v="9"/>
    <x v="9"/>
    <n v="20"/>
    <n v="10"/>
    <n v="30"/>
    <n v="10"/>
    <s v="Fail"/>
    <n v="0"/>
    <n v="0"/>
    <n v="3"/>
    <n v="1"/>
  </r>
  <r>
    <s v="Aeronautical Engineering"/>
    <s v="24BAE048"/>
    <s v="SHASWANTH M "/>
    <n v="2"/>
    <x v="0"/>
    <x v="0"/>
    <n v="37"/>
    <n v="26"/>
    <n v="63"/>
    <n v="11"/>
    <s v="Pass"/>
    <n v="1"/>
    <n v="7"/>
    <n v="4"/>
    <n v="1"/>
  </r>
  <r>
    <s v="Aeronautical Engineering"/>
    <s v="24BAE048"/>
    <s v="SHASWANTH M "/>
    <n v="2"/>
    <x v="1"/>
    <x v="1"/>
    <n v="35"/>
    <n v="24"/>
    <n v="59"/>
    <n v="11"/>
    <s v="Pass"/>
    <n v="1"/>
    <n v="6"/>
    <n v="4"/>
    <n v="1"/>
  </r>
  <r>
    <s v="Aeronautical Engineering"/>
    <s v="24BAE048"/>
    <s v="SHASWANTH M "/>
    <n v="2"/>
    <x v="11"/>
    <x v="11"/>
    <n v="8"/>
    <n v="2"/>
    <n v="10"/>
    <n v="6"/>
    <s v="Fail"/>
    <n v="0"/>
    <n v="0"/>
    <n v="3"/>
    <n v="1"/>
  </r>
  <r>
    <s v="Aeronautical Engineering"/>
    <s v="24BAE048"/>
    <s v="SHASWANTH M "/>
    <n v="2"/>
    <x v="2"/>
    <x v="2"/>
    <n v="60"/>
    <n v="0"/>
    <n v="60"/>
    <n v="0"/>
    <s v="Pass"/>
    <n v="1"/>
    <n v="6"/>
    <n v="1"/>
    <n v="0"/>
  </r>
  <r>
    <s v="Aeronautical Engineering"/>
    <s v="24BAE048"/>
    <s v="SHASWANTH M "/>
    <n v="2"/>
    <x v="3"/>
    <x v="3"/>
    <n v="33"/>
    <n v="29"/>
    <n v="62"/>
    <n v="4"/>
    <s v="Pass"/>
    <n v="1"/>
    <n v="7"/>
    <n v="1"/>
    <n v="1"/>
  </r>
  <r>
    <s v="Aeronautical Engineering"/>
    <s v="24BAE048"/>
    <s v="SHASWANTH M "/>
    <n v="2"/>
    <x v="4"/>
    <x v="4"/>
    <n v="26"/>
    <n v="30"/>
    <n v="56"/>
    <n v="-4"/>
    <s v="Pass"/>
    <n v="1"/>
    <n v="6"/>
    <n v="2"/>
    <n v="1"/>
  </r>
  <r>
    <s v="Aeronautical Engineering"/>
    <s v="24BAE048"/>
    <s v="SHASWANTH M "/>
    <n v="2"/>
    <x v="41"/>
    <x v="41"/>
    <n v="80"/>
    <n v="0"/>
    <n v="80"/>
    <n v="0"/>
    <s v="Pass"/>
    <n v="1"/>
    <n v="8"/>
    <n v="1"/>
    <n v="0"/>
  </r>
  <r>
    <s v="Aeronautical Engineering"/>
    <s v="24BAE048"/>
    <s v="SHASWANTH M "/>
    <n v="2"/>
    <x v="16"/>
    <x v="16"/>
    <n v="0"/>
    <n v="0"/>
    <n v="0"/>
    <n v="0"/>
    <s v="AB"/>
    <n v="0"/>
    <n v="0"/>
    <n v="1"/>
    <n v="0"/>
  </r>
  <r>
    <s v="Aeronautical Engineering"/>
    <s v="24BAE048"/>
    <s v="SHASWANTH M "/>
    <n v="2"/>
    <x v="6"/>
    <x v="6"/>
    <n v="94"/>
    <n v="0"/>
    <n v="94"/>
    <n v="0"/>
    <s v="Pass"/>
    <n v="1"/>
    <n v="10"/>
    <n v="1"/>
    <n v="0"/>
  </r>
  <r>
    <s v="Aeronautical Engineering"/>
    <s v="24BAE048"/>
    <s v="SHASWANTH M "/>
    <n v="2"/>
    <x v="17"/>
    <x v="17"/>
    <n v="34"/>
    <n v="12"/>
    <n v="46"/>
    <n v="22"/>
    <s v="Fail"/>
    <n v="0"/>
    <n v="0"/>
    <n v="4"/>
    <n v="1"/>
  </r>
  <r>
    <s v="Aeronautical Engineering"/>
    <s v="24BAE048"/>
    <s v="SHASWANTH M "/>
    <n v="2"/>
    <x v="8"/>
    <x v="8"/>
    <n v="22"/>
    <n v="30"/>
    <n v="52"/>
    <n v="-8"/>
    <s v="Pass"/>
    <n v="1"/>
    <n v="5"/>
    <n v="3"/>
    <n v="1"/>
  </r>
  <r>
    <s v="Aeronautical Engineering"/>
    <s v="24BAE048"/>
    <s v="SHASWANTH M "/>
    <n v="2"/>
    <x v="19"/>
    <x v="19"/>
    <n v="30"/>
    <n v="5"/>
    <n v="35"/>
    <n v="25"/>
    <s v="Fail"/>
    <n v="0"/>
    <n v="0"/>
    <n v="4"/>
    <n v="1"/>
  </r>
  <r>
    <s v="Aeronautical Engineering"/>
    <s v="24BAE048"/>
    <s v="SHASWANTH M "/>
    <n v="1"/>
    <x v="10"/>
    <x v="10"/>
    <n v="89"/>
    <n v="0"/>
    <n v="89"/>
    <n v="0"/>
    <s v="Pass"/>
    <n v="1"/>
    <n v="9"/>
    <n v="1"/>
    <n v="0"/>
  </r>
  <r>
    <s v="Aeronautical Engineering"/>
    <s v="24BAE048"/>
    <s v="SHASWANTH M "/>
    <n v="1"/>
    <x v="11"/>
    <x v="11"/>
    <n v="8"/>
    <n v="4"/>
    <n v="12"/>
    <n v="4"/>
    <s v="Fail"/>
    <n v="0"/>
    <n v="0"/>
    <n v="3"/>
    <n v="1"/>
  </r>
  <r>
    <s v="Aeronautical Engineering"/>
    <s v="24BAE048"/>
    <s v="SHASWANTH M "/>
    <n v="1"/>
    <x v="12"/>
    <x v="12"/>
    <n v="90"/>
    <n v="0"/>
    <n v="90"/>
    <n v="0"/>
    <s v="Pass"/>
    <n v="1"/>
    <n v="9"/>
    <n v="1"/>
    <n v="0"/>
  </r>
  <r>
    <s v="Aeronautical Engineering"/>
    <s v="24BAE048"/>
    <s v="SHASWANTH M "/>
    <n v="1"/>
    <x v="13"/>
    <x v="13"/>
    <n v="31"/>
    <n v="34"/>
    <n v="65"/>
    <n v="-3"/>
    <s v="Pass"/>
    <n v="1"/>
    <n v="7"/>
    <n v="1"/>
    <n v="1"/>
  </r>
  <r>
    <s v="Aeronautical Engineering"/>
    <s v="24BAE048"/>
    <s v="SHASWANTH M "/>
    <n v="1"/>
    <x v="50"/>
    <x v="50"/>
    <n v="59"/>
    <n v="0"/>
    <n v="59"/>
    <n v="0"/>
    <s v="Pass"/>
    <n v="1"/>
    <n v="6"/>
    <n v="1"/>
    <n v="0"/>
  </r>
  <r>
    <s v="Aeronautical Engineering"/>
    <s v="24BAE048"/>
    <s v="SHASWANTH M "/>
    <n v="1"/>
    <x v="15"/>
    <x v="15"/>
    <n v="100"/>
    <n v="0"/>
    <n v="100"/>
    <n v="0"/>
    <s v="Pass"/>
    <n v="1"/>
    <n v="10"/>
    <n v="1"/>
    <n v="0"/>
  </r>
  <r>
    <s v="Aeronautical Engineering"/>
    <s v="24BAE048"/>
    <s v="SHASWANTH M "/>
    <n v="1"/>
    <x v="16"/>
    <x v="16"/>
    <n v="0"/>
    <n v="0"/>
    <n v="0"/>
    <n v="0"/>
    <s v="Fail"/>
    <n v="0"/>
    <n v="0"/>
    <n v="1"/>
    <n v="0"/>
  </r>
  <r>
    <s v="Aeronautical Engineering"/>
    <s v="24BAE048"/>
    <s v="SHASWANTH M "/>
    <n v="1"/>
    <x v="17"/>
    <x v="17"/>
    <n v="34"/>
    <n v="13"/>
    <n v="47"/>
    <n v="21"/>
    <s v="Fail"/>
    <n v="0"/>
    <n v="0"/>
    <n v="4"/>
    <n v="1"/>
  </r>
  <r>
    <s v="Aeronautical Engineering"/>
    <s v="24BAE048"/>
    <s v="SHASWANTH M "/>
    <n v="1"/>
    <x v="18"/>
    <x v="18"/>
    <n v="38"/>
    <n v="27"/>
    <n v="65"/>
    <n v="11"/>
    <s v="Pass"/>
    <n v="1"/>
    <n v="7"/>
    <n v="3"/>
    <n v="1"/>
  </r>
  <r>
    <s v="Aeronautical Engineering"/>
    <s v="24BAE048"/>
    <s v="SHASWANTH M "/>
    <n v="1"/>
    <x v="19"/>
    <x v="19"/>
    <n v="30"/>
    <n v="7"/>
    <n v="37"/>
    <n v="23"/>
    <s v="Fail"/>
    <n v="0"/>
    <n v="0"/>
    <n v="4"/>
    <n v="1"/>
  </r>
  <r>
    <s v="Aeronautical Engineering"/>
    <s v="24BAE049"/>
    <s v="SHYAM FERNANDAS A "/>
    <n v="2"/>
    <x v="0"/>
    <x v="0"/>
    <n v="42"/>
    <n v="30"/>
    <n v="72"/>
    <n v="12"/>
    <s v="Pass"/>
    <n v="1"/>
    <n v="7"/>
    <n v="4"/>
    <n v="1"/>
  </r>
  <r>
    <s v="Aeronautical Engineering"/>
    <s v="24BAE049"/>
    <s v="SHYAM FERNANDAS A "/>
    <n v="2"/>
    <x v="1"/>
    <x v="1"/>
    <n v="41"/>
    <n v="27"/>
    <n v="68"/>
    <n v="14"/>
    <s v="Pass"/>
    <n v="1"/>
    <n v="7"/>
    <n v="4"/>
    <n v="1"/>
  </r>
  <r>
    <s v="Aeronautical Engineering"/>
    <s v="24BAE049"/>
    <s v="SHYAM FERNANDAS A "/>
    <n v="2"/>
    <x v="2"/>
    <x v="2"/>
    <n v="78"/>
    <n v="0"/>
    <n v="78"/>
    <n v="0"/>
    <s v="Pass"/>
    <n v="1"/>
    <n v="8"/>
    <n v="1"/>
    <n v="0"/>
  </r>
  <r>
    <s v="Aeronautical Engineering"/>
    <s v="24BAE049"/>
    <s v="SHYAM FERNANDAS A "/>
    <n v="2"/>
    <x v="3"/>
    <x v="3"/>
    <n v="36"/>
    <n v="29"/>
    <n v="65"/>
    <n v="7"/>
    <s v="Pass"/>
    <n v="1"/>
    <n v="7"/>
    <n v="1"/>
    <n v="1"/>
  </r>
  <r>
    <s v="Aeronautical Engineering"/>
    <s v="24BAE049"/>
    <s v="SHYAM FERNANDAS A "/>
    <n v="2"/>
    <x v="4"/>
    <x v="4"/>
    <n v="32"/>
    <n v="35"/>
    <n v="67"/>
    <n v="-3"/>
    <s v="Pass"/>
    <n v="1"/>
    <n v="7"/>
    <n v="2"/>
    <n v="1"/>
  </r>
  <r>
    <s v="Aeronautical Engineering"/>
    <s v="24BAE049"/>
    <s v="SHYAM FERNANDAS A "/>
    <n v="2"/>
    <x v="22"/>
    <x v="22"/>
    <n v="81"/>
    <n v="0"/>
    <n v="81"/>
    <n v="0"/>
    <s v="Pass"/>
    <n v="1"/>
    <n v="9"/>
    <n v="1"/>
    <n v="0"/>
  </r>
  <r>
    <s v="Aeronautical Engineering"/>
    <s v="24BAE049"/>
    <s v="SHYAM FERNANDAS A "/>
    <n v="2"/>
    <x v="6"/>
    <x v="6"/>
    <n v="94"/>
    <n v="0"/>
    <n v="94"/>
    <n v="0"/>
    <s v="Pass"/>
    <n v="1"/>
    <n v="10"/>
    <n v="1"/>
    <n v="0"/>
  </r>
  <r>
    <s v="Aeronautical Engineering"/>
    <s v="24BAE049"/>
    <s v="SHYAM FERNANDAS A "/>
    <n v="2"/>
    <x v="7"/>
    <x v="7"/>
    <n v="40"/>
    <n v="34"/>
    <n v="74"/>
    <n v="6"/>
    <s v="Pass"/>
    <n v="1"/>
    <n v="8"/>
    <n v="4"/>
    <n v="1"/>
  </r>
  <r>
    <s v="Aeronautical Engineering"/>
    <s v="24BAE049"/>
    <s v="SHYAM FERNANDAS A "/>
    <n v="2"/>
    <x v="8"/>
    <x v="8"/>
    <n v="26"/>
    <n v="47"/>
    <n v="73"/>
    <n v="-21"/>
    <s v="Pass"/>
    <n v="1"/>
    <n v="8"/>
    <n v="3"/>
    <n v="1"/>
  </r>
  <r>
    <s v="Aeronautical Engineering"/>
    <s v="24BAE049"/>
    <s v="SHYAM FERNANDAS A "/>
    <n v="2"/>
    <x v="9"/>
    <x v="9"/>
    <n v="29"/>
    <n v="44"/>
    <n v="73"/>
    <n v="-15"/>
    <s v="Pass"/>
    <n v="1"/>
    <n v="8"/>
    <n v="3"/>
    <n v="1"/>
  </r>
  <r>
    <s v="Aeronautical Engineering"/>
    <s v="24BAE049"/>
    <s v="SHYAM FERNANDAS A "/>
    <n v="1"/>
    <x v="10"/>
    <x v="10"/>
    <n v="92"/>
    <n v="0"/>
    <n v="92"/>
    <n v="0"/>
    <s v="Pass"/>
    <n v="1"/>
    <n v="10"/>
    <n v="1"/>
    <n v="0"/>
  </r>
  <r>
    <s v="Aeronautical Engineering"/>
    <s v="24BAE049"/>
    <s v="SHYAM FERNANDAS A "/>
    <n v="1"/>
    <x v="11"/>
    <x v="11"/>
    <n v="23"/>
    <n v="30"/>
    <n v="53"/>
    <n v="-7"/>
    <s v="Pass"/>
    <n v="1"/>
    <n v="6"/>
    <n v="3"/>
    <n v="1"/>
  </r>
  <r>
    <s v="Aeronautical Engineering"/>
    <s v="24BAE049"/>
    <s v="SHYAM FERNANDAS A "/>
    <n v="1"/>
    <x v="12"/>
    <x v="12"/>
    <n v="62"/>
    <n v="0"/>
    <n v="62"/>
    <n v="0"/>
    <s v="Pass"/>
    <n v="1"/>
    <n v="7"/>
    <n v="1"/>
    <n v="0"/>
  </r>
  <r>
    <s v="Aeronautical Engineering"/>
    <s v="24BAE049"/>
    <s v="SHYAM FERNANDAS A "/>
    <n v="1"/>
    <x v="13"/>
    <x v="13"/>
    <n v="27"/>
    <n v="42"/>
    <n v="69"/>
    <n v="-15"/>
    <s v="Pass"/>
    <n v="1"/>
    <n v="7"/>
    <n v="1"/>
    <n v="1"/>
  </r>
  <r>
    <s v="Aeronautical Engineering"/>
    <s v="24BAE049"/>
    <s v="SHYAM FERNANDAS A "/>
    <n v="1"/>
    <x v="43"/>
    <x v="43"/>
    <n v="86"/>
    <n v="0"/>
    <n v="86"/>
    <n v="0"/>
    <s v="Pass"/>
    <n v="1"/>
    <n v="9"/>
    <n v="1"/>
    <n v="0"/>
  </r>
  <r>
    <s v="Aeronautical Engineering"/>
    <s v="24BAE049"/>
    <s v="SHYAM FERNANDAS A "/>
    <n v="1"/>
    <x v="15"/>
    <x v="15"/>
    <n v="95"/>
    <n v="0"/>
    <n v="95"/>
    <n v="0"/>
    <s v="Pass"/>
    <n v="1"/>
    <n v="10"/>
    <n v="1"/>
    <n v="0"/>
  </r>
  <r>
    <s v="Aeronautical Engineering"/>
    <s v="24BAE049"/>
    <s v="SHYAM FERNANDAS A "/>
    <n v="1"/>
    <x v="16"/>
    <x v="16"/>
    <n v="88"/>
    <n v="0"/>
    <n v="88"/>
    <n v="0"/>
    <s v="Pass"/>
    <n v="1"/>
    <n v="9"/>
    <n v="1"/>
    <n v="0"/>
  </r>
  <r>
    <s v="Aeronautical Engineering"/>
    <s v="24BAE049"/>
    <s v="SHYAM FERNANDAS A "/>
    <n v="1"/>
    <x v="17"/>
    <x v="17"/>
    <n v="43"/>
    <n v="40"/>
    <n v="83"/>
    <n v="3"/>
    <s v="Pass"/>
    <n v="1"/>
    <n v="8"/>
    <n v="4"/>
    <n v="1"/>
  </r>
  <r>
    <s v="Aeronautical Engineering"/>
    <s v="24BAE049"/>
    <s v="SHYAM FERNANDAS A "/>
    <n v="1"/>
    <x v="18"/>
    <x v="18"/>
    <n v="40"/>
    <n v="35"/>
    <n v="75"/>
    <n v="5"/>
    <s v="Pass"/>
    <n v="1"/>
    <n v="8"/>
    <n v="3"/>
    <n v="1"/>
  </r>
  <r>
    <s v="Aeronautical Engineering"/>
    <s v="24BAE049"/>
    <s v="SHYAM FERNANDAS A "/>
    <n v="1"/>
    <x v="19"/>
    <x v="19"/>
    <n v="38"/>
    <n v="31"/>
    <n v="69"/>
    <n v="7"/>
    <s v="Pass"/>
    <n v="1"/>
    <n v="8"/>
    <n v="4"/>
    <n v="1"/>
  </r>
  <r>
    <s v="Aeronautical Engineering"/>
    <s v="24BAE050"/>
    <s v="SIDDARTH R "/>
    <n v="2"/>
    <x v="0"/>
    <x v="0"/>
    <n v="43"/>
    <n v="42"/>
    <n v="85"/>
    <n v="1"/>
    <s v="Pass"/>
    <n v="1"/>
    <n v="8"/>
    <n v="4"/>
    <n v="1"/>
  </r>
  <r>
    <s v="Aeronautical Engineering"/>
    <s v="24BAE050"/>
    <s v="SIDDARTH R "/>
    <n v="2"/>
    <x v="1"/>
    <x v="1"/>
    <n v="41"/>
    <n v="42"/>
    <n v="83"/>
    <n v="-1"/>
    <s v="Pass"/>
    <n v="1"/>
    <n v="9"/>
    <n v="4"/>
    <n v="1"/>
  </r>
  <r>
    <s v="Aeronautical Engineering"/>
    <s v="24BAE050"/>
    <s v="SIDDARTH R "/>
    <n v="2"/>
    <x v="2"/>
    <x v="2"/>
    <n v="70"/>
    <n v="0"/>
    <n v="70"/>
    <n v="0"/>
    <s v="Pass"/>
    <n v="1"/>
    <n v="7"/>
    <n v="1"/>
    <n v="0"/>
  </r>
  <r>
    <s v="Aeronautical Engineering"/>
    <s v="24BAE050"/>
    <s v="SIDDARTH R "/>
    <n v="2"/>
    <x v="3"/>
    <x v="3"/>
    <n v="43"/>
    <n v="32"/>
    <n v="75"/>
    <n v="11"/>
    <s v="Pass"/>
    <n v="1"/>
    <n v="8"/>
    <n v="1"/>
    <n v="1"/>
  </r>
  <r>
    <s v="Aeronautical Engineering"/>
    <s v="24BAE050"/>
    <s v="SIDDARTH R "/>
    <n v="2"/>
    <x v="20"/>
    <x v="20"/>
    <n v="26"/>
    <n v="47"/>
    <n v="73"/>
    <n v="-21"/>
    <s v="Pass"/>
    <n v="1"/>
    <n v="8"/>
    <n v="2"/>
    <n v="1"/>
  </r>
  <r>
    <s v="Aeronautical Engineering"/>
    <s v="24BAE050"/>
    <s v="SIDDARTH R "/>
    <n v="2"/>
    <x v="31"/>
    <x v="31"/>
    <n v="85"/>
    <n v="0"/>
    <n v="85"/>
    <n v="0"/>
    <s v="Pass"/>
    <n v="1"/>
    <n v="9"/>
    <n v="1"/>
    <n v="0"/>
  </r>
  <r>
    <s v="Aeronautical Engineering"/>
    <s v="24BAE050"/>
    <s v="SIDDARTH R "/>
    <n v="2"/>
    <x v="6"/>
    <x v="6"/>
    <n v="92"/>
    <n v="0"/>
    <n v="92"/>
    <n v="0"/>
    <s v="Pass"/>
    <n v="1"/>
    <n v="10"/>
    <n v="1"/>
    <n v="0"/>
  </r>
  <r>
    <s v="Aeronautical Engineering"/>
    <s v="24BAE050"/>
    <s v="SIDDARTH R "/>
    <n v="2"/>
    <x v="7"/>
    <x v="7"/>
    <n v="37"/>
    <n v="32"/>
    <n v="69"/>
    <n v="5"/>
    <s v="Pass"/>
    <n v="1"/>
    <n v="8"/>
    <n v="4"/>
    <n v="1"/>
  </r>
  <r>
    <s v="Aeronautical Engineering"/>
    <s v="24BAE050"/>
    <s v="SIDDARTH R "/>
    <n v="2"/>
    <x v="8"/>
    <x v="8"/>
    <n v="32"/>
    <n v="44"/>
    <n v="76"/>
    <n v="-12"/>
    <s v="Pass"/>
    <n v="1"/>
    <n v="8"/>
    <n v="3"/>
    <n v="1"/>
  </r>
  <r>
    <s v="Aeronautical Engineering"/>
    <s v="24BAE050"/>
    <s v="SIDDARTH R "/>
    <n v="2"/>
    <x v="9"/>
    <x v="9"/>
    <n v="33"/>
    <n v="50"/>
    <n v="83"/>
    <n v="-17"/>
    <s v="Pass"/>
    <n v="1"/>
    <n v="8"/>
    <n v="3"/>
    <n v="1"/>
  </r>
  <r>
    <s v="Aeronautical Engineering"/>
    <s v="24BAE050"/>
    <s v="SIDDARTH R "/>
    <n v="1"/>
    <x v="10"/>
    <x v="10"/>
    <n v="83"/>
    <n v="0"/>
    <n v="83"/>
    <n v="0"/>
    <s v="Pass"/>
    <n v="1"/>
    <n v="9"/>
    <n v="1"/>
    <n v="0"/>
  </r>
  <r>
    <s v="Aeronautical Engineering"/>
    <s v="24BAE050"/>
    <s v="SIDDARTH R "/>
    <n v="1"/>
    <x v="11"/>
    <x v="11"/>
    <n v="27"/>
    <n v="32"/>
    <n v="59"/>
    <n v="-5"/>
    <s v="Pass"/>
    <n v="1"/>
    <n v="8"/>
    <n v="3"/>
    <n v="1"/>
  </r>
  <r>
    <s v="Aeronautical Engineering"/>
    <s v="24BAE050"/>
    <s v="SIDDARTH R "/>
    <n v="1"/>
    <x v="12"/>
    <x v="12"/>
    <n v="92"/>
    <n v="0"/>
    <n v="92"/>
    <n v="0"/>
    <s v="Pass"/>
    <n v="1"/>
    <n v="10"/>
    <n v="1"/>
    <n v="0"/>
  </r>
  <r>
    <s v="Aeronautical Engineering"/>
    <s v="24BAE050"/>
    <s v="SIDDARTH R "/>
    <n v="1"/>
    <x v="13"/>
    <x v="13"/>
    <n v="29"/>
    <n v="48"/>
    <n v="77"/>
    <n v="-19"/>
    <s v="Pass"/>
    <n v="1"/>
    <n v="8"/>
    <n v="1"/>
    <n v="1"/>
  </r>
  <r>
    <s v="Aeronautical Engineering"/>
    <s v="24BAE050"/>
    <s v="SIDDARTH R "/>
    <n v="1"/>
    <x v="27"/>
    <x v="27"/>
    <n v="57"/>
    <n v="37"/>
    <n v="94"/>
    <n v="20"/>
    <s v="Pass"/>
    <n v="1"/>
    <n v="10"/>
    <n v="3"/>
    <n v="1"/>
  </r>
  <r>
    <s v="Aeronautical Engineering"/>
    <s v="24BAE050"/>
    <s v="SIDDARTH R "/>
    <n v="1"/>
    <x v="17"/>
    <x v="17"/>
    <n v="45"/>
    <n v="46"/>
    <n v="91"/>
    <n v="-1"/>
    <s v="Pass"/>
    <n v="1"/>
    <n v="9"/>
    <n v="4"/>
    <n v="1"/>
  </r>
  <r>
    <s v="Aeronautical Engineering"/>
    <s v="24BAE050"/>
    <s v="SIDDARTH R "/>
    <n v="1"/>
    <x v="18"/>
    <x v="18"/>
    <n v="46"/>
    <n v="50"/>
    <n v="96"/>
    <n v="-4"/>
    <s v="Pass"/>
    <n v="1"/>
    <n v="10"/>
    <n v="3"/>
    <n v="1"/>
  </r>
  <r>
    <s v="Aeronautical Engineering"/>
    <s v="24BAE050"/>
    <s v="SIDDARTH R "/>
    <n v="1"/>
    <x v="19"/>
    <x v="19"/>
    <n v="43"/>
    <n v="44"/>
    <n v="87"/>
    <n v="-1"/>
    <s v="Pass"/>
    <n v="1"/>
    <n v="10"/>
    <n v="4"/>
    <n v="1"/>
  </r>
  <r>
    <s v="Aeronautical Engineering"/>
    <s v="24BAE051"/>
    <s v="SIVANESAN K "/>
    <n v="2"/>
    <x v="0"/>
    <x v="0"/>
    <n v="34"/>
    <n v="14"/>
    <n v="48"/>
    <n v="20"/>
    <s v="Fail"/>
    <n v="0"/>
    <n v="0"/>
    <n v="4"/>
    <n v="1"/>
  </r>
  <r>
    <s v="Aeronautical Engineering"/>
    <s v="24BAE051"/>
    <s v="SIVANESAN K "/>
    <n v="2"/>
    <x v="8"/>
    <x v="8"/>
    <n v="24"/>
    <n v="6"/>
    <n v="30"/>
    <n v="18"/>
    <s v="Fail"/>
    <n v="0"/>
    <n v="0"/>
    <n v="3"/>
    <n v="1"/>
  </r>
  <r>
    <s v="Aeronautical Engineering"/>
    <s v="24BAE051"/>
    <s v="SIVANESAN K "/>
    <n v="2"/>
    <x v="9"/>
    <x v="9"/>
    <n v="20"/>
    <n v="9"/>
    <n v="29"/>
    <n v="11"/>
    <s v="Fail"/>
    <n v="0"/>
    <n v="0"/>
    <n v="3"/>
    <n v="1"/>
  </r>
  <r>
    <s v="Aeronautical Engineering"/>
    <s v="24BAE051"/>
    <s v="SIVANESAN K "/>
    <n v="2"/>
    <x v="1"/>
    <x v="1"/>
    <n v="36"/>
    <n v="33"/>
    <n v="69"/>
    <n v="3"/>
    <s v="Pass"/>
    <n v="1"/>
    <n v="7"/>
    <n v="4"/>
    <n v="1"/>
  </r>
  <r>
    <s v="Aeronautical Engineering"/>
    <s v="24BAE051"/>
    <s v="SIVANESAN K "/>
    <n v="2"/>
    <x v="2"/>
    <x v="2"/>
    <n v="74"/>
    <n v="0"/>
    <n v="74"/>
    <n v="0"/>
    <s v="Pass"/>
    <n v="1"/>
    <n v="8"/>
    <n v="1"/>
    <n v="0"/>
  </r>
  <r>
    <s v="Aeronautical Engineering"/>
    <s v="24BAE051"/>
    <s v="SIVANESAN K "/>
    <n v="2"/>
    <x v="3"/>
    <x v="3"/>
    <n v="36"/>
    <n v="30"/>
    <n v="66"/>
    <n v="6"/>
    <s v="Pass"/>
    <n v="1"/>
    <n v="7"/>
    <n v="1"/>
    <n v="1"/>
  </r>
  <r>
    <s v="Aeronautical Engineering"/>
    <s v="24BAE051"/>
    <s v="SIVANESAN K "/>
    <n v="2"/>
    <x v="4"/>
    <x v="4"/>
    <n v="24"/>
    <n v="38"/>
    <n v="62"/>
    <n v="-14"/>
    <s v="Pass"/>
    <n v="1"/>
    <n v="7"/>
    <n v="2"/>
    <n v="1"/>
  </r>
  <r>
    <s v="Aeronautical Engineering"/>
    <s v="24BAE051"/>
    <s v="SIVANESAN K "/>
    <n v="2"/>
    <x v="52"/>
    <x v="52"/>
    <n v="83"/>
    <n v="0"/>
    <n v="83"/>
    <n v="0"/>
    <s v="Pass"/>
    <n v="1"/>
    <n v="9"/>
    <n v="1"/>
    <n v="0"/>
  </r>
  <r>
    <s v="Aeronautical Engineering"/>
    <s v="24BAE051"/>
    <s v="SIVANESAN K "/>
    <n v="2"/>
    <x v="6"/>
    <x v="6"/>
    <n v="92"/>
    <n v="0"/>
    <n v="92"/>
    <n v="0"/>
    <s v="Pass"/>
    <n v="1"/>
    <n v="10"/>
    <n v="1"/>
    <n v="0"/>
  </r>
  <r>
    <s v="Aeronautical Engineering"/>
    <s v="24BAE051"/>
    <s v="SIVANESAN K "/>
    <n v="2"/>
    <x v="7"/>
    <x v="7"/>
    <n v="33"/>
    <n v="23"/>
    <n v="56"/>
    <n v="10"/>
    <s v="Pass"/>
    <n v="1"/>
    <n v="6"/>
    <n v="4"/>
    <n v="1"/>
  </r>
  <r>
    <s v="Aeronautical Engineering"/>
    <s v="24BAE051"/>
    <s v="SIVANESAN K "/>
    <n v="1"/>
    <x v="10"/>
    <x v="10"/>
    <n v="92"/>
    <n v="0"/>
    <n v="92"/>
    <n v="0"/>
    <s v="Pass"/>
    <n v="1"/>
    <n v="10"/>
    <n v="1"/>
    <n v="0"/>
  </r>
  <r>
    <s v="Aeronautical Engineering"/>
    <s v="24BAE051"/>
    <s v="SIVANESAN K "/>
    <n v="1"/>
    <x v="11"/>
    <x v="11"/>
    <n v="26"/>
    <n v="30"/>
    <n v="56"/>
    <n v="-4"/>
    <s v="Pass"/>
    <n v="1"/>
    <n v="7"/>
    <n v="3"/>
    <n v="1"/>
  </r>
  <r>
    <s v="Aeronautical Engineering"/>
    <s v="24BAE051"/>
    <s v="SIVANESAN K "/>
    <n v="1"/>
    <x v="12"/>
    <x v="12"/>
    <n v="85"/>
    <n v="0"/>
    <n v="85"/>
    <n v="0"/>
    <s v="Pass"/>
    <n v="1"/>
    <n v="9"/>
    <n v="1"/>
    <n v="0"/>
  </r>
  <r>
    <s v="Aeronautical Engineering"/>
    <s v="24BAE051"/>
    <s v="SIVANESAN K "/>
    <n v="1"/>
    <x v="13"/>
    <x v="13"/>
    <n v="25"/>
    <n v="38"/>
    <n v="63"/>
    <n v="-13"/>
    <s v="Pass"/>
    <n v="1"/>
    <n v="7"/>
    <n v="1"/>
    <n v="1"/>
  </r>
  <r>
    <s v="Aeronautical Engineering"/>
    <s v="24BAE051"/>
    <s v="SIVANESAN K "/>
    <n v="1"/>
    <x v="22"/>
    <x v="22"/>
    <n v="84"/>
    <n v="0"/>
    <n v="84"/>
    <n v="0"/>
    <s v="Pass"/>
    <n v="1"/>
    <n v="9"/>
    <n v="1"/>
    <n v="0"/>
  </r>
  <r>
    <s v="Aeronautical Engineering"/>
    <s v="24BAE051"/>
    <s v="SIVANESAN K "/>
    <n v="1"/>
    <x v="15"/>
    <x v="15"/>
    <n v="90"/>
    <n v="0"/>
    <n v="90"/>
    <n v="0"/>
    <s v="Pass"/>
    <n v="1"/>
    <n v="9"/>
    <n v="1"/>
    <n v="0"/>
  </r>
  <r>
    <s v="Aeronautical Engineering"/>
    <s v="24BAE051"/>
    <s v="SIVANESAN K "/>
    <n v="1"/>
    <x v="16"/>
    <x v="16"/>
    <n v="79"/>
    <n v="0"/>
    <n v="79"/>
    <n v="0"/>
    <s v="Pass"/>
    <n v="1"/>
    <n v="8"/>
    <n v="1"/>
    <n v="0"/>
  </r>
  <r>
    <s v="Aeronautical Engineering"/>
    <s v="24BAE051"/>
    <s v="SIVANESAN K "/>
    <n v="1"/>
    <x v="17"/>
    <x v="17"/>
    <n v="35"/>
    <n v="34"/>
    <n v="69"/>
    <n v="1"/>
    <s v="Pass"/>
    <n v="1"/>
    <n v="7"/>
    <n v="4"/>
    <n v="1"/>
  </r>
  <r>
    <s v="Aeronautical Engineering"/>
    <s v="24BAE051"/>
    <s v="SIVANESAN K "/>
    <n v="1"/>
    <x v="18"/>
    <x v="18"/>
    <n v="34"/>
    <n v="42"/>
    <n v="76"/>
    <n v="-8"/>
    <s v="Pass"/>
    <n v="1"/>
    <n v="8"/>
    <n v="3"/>
    <n v="1"/>
  </r>
  <r>
    <s v="Aeronautical Engineering"/>
    <s v="24BAE051"/>
    <s v="SIVANESAN K "/>
    <n v="1"/>
    <x v="19"/>
    <x v="19"/>
    <n v="34"/>
    <n v="33"/>
    <n v="67"/>
    <n v="1"/>
    <s v="Pass"/>
    <n v="1"/>
    <n v="8"/>
    <n v="4"/>
    <n v="1"/>
  </r>
  <r>
    <s v="Aeronautical Engineering"/>
    <s v="24BAE052"/>
    <s v="SREEAMOKA S "/>
    <n v="2"/>
    <x v="1"/>
    <x v="1"/>
    <n v="37"/>
    <n v="14"/>
    <n v="51"/>
    <n v="23"/>
    <s v="Fail"/>
    <n v="0"/>
    <n v="0"/>
    <n v="4"/>
    <n v="1"/>
  </r>
  <r>
    <s v="Aeronautical Engineering"/>
    <s v="24BAE052"/>
    <s v="SREEAMOKA S "/>
    <n v="2"/>
    <x v="7"/>
    <x v="7"/>
    <n v="28"/>
    <n v="1"/>
    <n v="29"/>
    <n v="27"/>
    <s v="Fail"/>
    <n v="0"/>
    <n v="0"/>
    <n v="4"/>
    <n v="1"/>
  </r>
  <r>
    <s v="Aeronautical Engineering"/>
    <s v="24BAE052"/>
    <s v="SREEAMOKA S "/>
    <n v="2"/>
    <x v="8"/>
    <x v="8"/>
    <n v="13"/>
    <n v="31"/>
    <n v="44"/>
    <n v="-18"/>
    <s v="Fail"/>
    <n v="0"/>
    <n v="0"/>
    <n v="3"/>
    <n v="1"/>
  </r>
  <r>
    <s v="Aeronautical Engineering"/>
    <s v="24BAE052"/>
    <s v="SREEAMOKA S "/>
    <n v="2"/>
    <x v="9"/>
    <x v="9"/>
    <n v="21"/>
    <n v="16"/>
    <n v="37"/>
    <n v="5"/>
    <s v="Fail"/>
    <n v="0"/>
    <n v="0"/>
    <n v="3"/>
    <n v="1"/>
  </r>
  <r>
    <s v="Aeronautical Engineering"/>
    <s v="24BAE052"/>
    <s v="SREEAMOKA S "/>
    <n v="2"/>
    <x v="0"/>
    <x v="0"/>
    <n v="39"/>
    <n v="23"/>
    <n v="62"/>
    <n v="16"/>
    <s v="Pass"/>
    <n v="1"/>
    <n v="7"/>
    <n v="4"/>
    <n v="1"/>
  </r>
  <r>
    <s v="Aeronautical Engineering"/>
    <s v="24BAE052"/>
    <s v="SREEAMOKA S "/>
    <n v="2"/>
    <x v="11"/>
    <x v="11"/>
    <n v="16"/>
    <n v="14"/>
    <n v="30"/>
    <n v="2"/>
    <s v="Fail"/>
    <n v="0"/>
    <n v="0"/>
    <n v="3"/>
    <n v="1"/>
  </r>
  <r>
    <s v="Aeronautical Engineering"/>
    <s v="24BAE052"/>
    <s v="SREEAMOKA S "/>
    <n v="2"/>
    <x v="2"/>
    <x v="2"/>
    <n v="86"/>
    <n v="0"/>
    <n v="86"/>
    <n v="0"/>
    <s v="Pass"/>
    <n v="1"/>
    <n v="9"/>
    <n v="1"/>
    <n v="0"/>
  </r>
  <r>
    <s v="Aeronautical Engineering"/>
    <s v="24BAE052"/>
    <s v="SREEAMOKA S "/>
    <n v="2"/>
    <x v="3"/>
    <x v="3"/>
    <n v="30"/>
    <n v="33"/>
    <n v="63"/>
    <n v="-3"/>
    <s v="Pass"/>
    <n v="1"/>
    <n v="7"/>
    <n v="1"/>
    <n v="1"/>
  </r>
  <r>
    <s v="Aeronautical Engineering"/>
    <s v="24BAE052"/>
    <s v="SREEAMOKA S "/>
    <n v="2"/>
    <x v="4"/>
    <x v="4"/>
    <n v="25"/>
    <n v="55"/>
    <n v="80"/>
    <n v="-30"/>
    <s v="Pass"/>
    <n v="1"/>
    <n v="8"/>
    <n v="2"/>
    <n v="1"/>
  </r>
  <r>
    <s v="Aeronautical Engineering"/>
    <s v="24BAE052"/>
    <s v="SREEAMOKA S "/>
    <n v="2"/>
    <x v="53"/>
    <x v="53"/>
    <n v="78"/>
    <n v="0"/>
    <n v="78"/>
    <n v="0"/>
    <s v="Pass"/>
    <n v="1"/>
    <n v="8"/>
    <n v="1"/>
    <n v="0"/>
  </r>
  <r>
    <s v="Aeronautical Engineering"/>
    <s v="24BAE052"/>
    <s v="SREEAMOKA S "/>
    <n v="2"/>
    <x v="6"/>
    <x v="6"/>
    <n v="92"/>
    <n v="0"/>
    <n v="92"/>
    <n v="0"/>
    <s v="Pass"/>
    <n v="1"/>
    <n v="10"/>
    <n v="1"/>
    <n v="0"/>
  </r>
  <r>
    <s v="Aeronautical Engineering"/>
    <s v="24BAE052"/>
    <s v="SREEAMOKA S "/>
    <n v="2"/>
    <x v="17"/>
    <x v="17"/>
    <n v="28"/>
    <n v="0"/>
    <n v="28"/>
    <n v="0"/>
    <s v="AB"/>
    <n v="0"/>
    <n v="0"/>
    <n v="4"/>
    <n v="0"/>
  </r>
  <r>
    <s v="Aeronautical Engineering"/>
    <s v="24BAE052"/>
    <s v="SREEAMOKA S "/>
    <n v="2"/>
    <x v="19"/>
    <x v="19"/>
    <n v="29"/>
    <n v="0"/>
    <n v="29"/>
    <n v="0"/>
    <s v="AB"/>
    <n v="0"/>
    <n v="0"/>
    <n v="4"/>
    <n v="0"/>
  </r>
  <r>
    <s v="Aeronautical Engineering"/>
    <s v="24BAE052"/>
    <s v="SREEAMOKA S "/>
    <n v="1"/>
    <x v="10"/>
    <x v="10"/>
    <n v="95"/>
    <n v="0"/>
    <n v="95"/>
    <n v="0"/>
    <s v="Pass"/>
    <n v="1"/>
    <n v="10"/>
    <n v="1"/>
    <n v="0"/>
  </r>
  <r>
    <s v="Aeronautical Engineering"/>
    <s v="24BAE052"/>
    <s v="SREEAMOKA S "/>
    <n v="1"/>
    <x v="11"/>
    <x v="11"/>
    <n v="16"/>
    <n v="3"/>
    <n v="19"/>
    <n v="13"/>
    <s v="Fail"/>
    <n v="0"/>
    <n v="0"/>
    <n v="3"/>
    <n v="1"/>
  </r>
  <r>
    <s v="Aeronautical Engineering"/>
    <s v="24BAE052"/>
    <s v="SREEAMOKA S "/>
    <n v="1"/>
    <x v="12"/>
    <x v="12"/>
    <n v="60"/>
    <n v="0"/>
    <n v="60"/>
    <n v="0"/>
    <s v="Pass"/>
    <n v="1"/>
    <n v="6"/>
    <n v="1"/>
    <n v="0"/>
  </r>
  <r>
    <s v="Aeronautical Engineering"/>
    <s v="24BAE052"/>
    <s v="SREEAMOKA S "/>
    <n v="1"/>
    <x v="13"/>
    <x v="13"/>
    <n v="25"/>
    <n v="43"/>
    <n v="68"/>
    <n v="-18"/>
    <s v="Pass"/>
    <n v="1"/>
    <n v="7"/>
    <n v="1"/>
    <n v="1"/>
  </r>
  <r>
    <s v="Aeronautical Engineering"/>
    <s v="24BAE052"/>
    <s v="SREEAMOKA S "/>
    <n v="1"/>
    <x v="15"/>
    <x v="15"/>
    <n v="90"/>
    <n v="0"/>
    <n v="90"/>
    <n v="0"/>
    <s v="Pass"/>
    <n v="1"/>
    <n v="9"/>
    <n v="1"/>
    <n v="0"/>
  </r>
  <r>
    <s v="Aeronautical Engineering"/>
    <s v="24BAE052"/>
    <s v="SREEAMOKA S "/>
    <n v="1"/>
    <x v="16"/>
    <x v="16"/>
    <n v="82"/>
    <n v="0"/>
    <n v="82"/>
    <n v="0"/>
    <s v="Pass"/>
    <n v="1"/>
    <n v="9"/>
    <n v="1"/>
    <n v="0"/>
  </r>
  <r>
    <s v="Aeronautical Engineering"/>
    <s v="24BAE052"/>
    <s v="SREEAMOKA S "/>
    <n v="1"/>
    <x v="17"/>
    <x v="17"/>
    <n v="28"/>
    <n v="5"/>
    <n v="33"/>
    <n v="23"/>
    <s v="Fail"/>
    <n v="0"/>
    <n v="0"/>
    <n v="4"/>
    <n v="1"/>
  </r>
  <r>
    <s v="Aeronautical Engineering"/>
    <s v="24BAE052"/>
    <s v="SREEAMOKA S "/>
    <n v="1"/>
    <x v="18"/>
    <x v="18"/>
    <n v="30"/>
    <n v="27"/>
    <n v="57"/>
    <n v="3"/>
    <s v="Pass"/>
    <n v="1"/>
    <n v="6"/>
    <n v="3"/>
    <n v="1"/>
  </r>
  <r>
    <s v="Aeronautical Engineering"/>
    <s v="24BAE052"/>
    <s v="SREEAMOKA S "/>
    <n v="1"/>
    <x v="19"/>
    <x v="19"/>
    <n v="29"/>
    <n v="15"/>
    <n v="44"/>
    <n v="14"/>
    <s v="Fail"/>
    <n v="0"/>
    <n v="0"/>
    <n v="4"/>
    <n v="1"/>
  </r>
  <r>
    <s v="Aeronautical Engineering"/>
    <s v="24BAE053"/>
    <s v="SRI VARSHAN S "/>
    <n v="2"/>
    <x v="0"/>
    <x v="0"/>
    <n v="45"/>
    <n v="40"/>
    <n v="85"/>
    <n v="5"/>
    <s v="Pass"/>
    <n v="1"/>
    <n v="8"/>
    <n v="4"/>
    <n v="1"/>
  </r>
  <r>
    <s v="Aeronautical Engineering"/>
    <s v="24BAE053"/>
    <s v="SRI VARSHAN S "/>
    <n v="2"/>
    <x v="1"/>
    <x v="1"/>
    <n v="38"/>
    <n v="34"/>
    <n v="72"/>
    <n v="4"/>
    <s v="Pass"/>
    <n v="1"/>
    <n v="7"/>
    <n v="4"/>
    <n v="1"/>
  </r>
  <r>
    <s v="Aeronautical Engineering"/>
    <s v="24BAE053"/>
    <s v="SRI VARSHAN S "/>
    <n v="2"/>
    <x v="2"/>
    <x v="2"/>
    <n v="79"/>
    <n v="0"/>
    <n v="79"/>
    <n v="0"/>
    <s v="Pass"/>
    <n v="1"/>
    <n v="8"/>
    <n v="1"/>
    <n v="0"/>
  </r>
  <r>
    <s v="Aeronautical Engineering"/>
    <s v="24BAE053"/>
    <s v="SRI VARSHAN S "/>
    <n v="2"/>
    <x v="3"/>
    <x v="3"/>
    <n v="36"/>
    <n v="32"/>
    <n v="68"/>
    <n v="4"/>
    <s v="Pass"/>
    <n v="1"/>
    <n v="7"/>
    <n v="1"/>
    <n v="1"/>
  </r>
  <r>
    <s v="Aeronautical Engineering"/>
    <s v="24BAE053"/>
    <s v="SRI VARSHAN S "/>
    <n v="2"/>
    <x v="4"/>
    <x v="4"/>
    <n v="31"/>
    <n v="45"/>
    <n v="76"/>
    <n v="-14"/>
    <s v="Pass"/>
    <n v="1"/>
    <n v="8"/>
    <n v="2"/>
    <n v="1"/>
  </r>
  <r>
    <s v="Aeronautical Engineering"/>
    <s v="24BAE053"/>
    <s v="SRI VARSHAN S "/>
    <n v="2"/>
    <x v="44"/>
    <x v="44"/>
    <n v="86"/>
    <n v="0"/>
    <n v="86"/>
    <n v="0"/>
    <s v="Pass"/>
    <n v="1"/>
    <n v="9"/>
    <n v="1"/>
    <n v="0"/>
  </r>
  <r>
    <s v="Aeronautical Engineering"/>
    <s v="24BAE053"/>
    <s v="SRI VARSHAN S "/>
    <n v="2"/>
    <x v="6"/>
    <x v="6"/>
    <n v="92"/>
    <n v="0"/>
    <n v="92"/>
    <n v="0"/>
    <s v="Pass"/>
    <n v="1"/>
    <n v="10"/>
    <n v="1"/>
    <n v="0"/>
  </r>
  <r>
    <s v="Aeronautical Engineering"/>
    <s v="24BAE053"/>
    <s v="SRI VARSHAN S "/>
    <n v="2"/>
    <x v="7"/>
    <x v="7"/>
    <n v="47"/>
    <n v="33"/>
    <n v="80"/>
    <n v="14"/>
    <s v="Pass"/>
    <n v="1"/>
    <n v="8"/>
    <n v="4"/>
    <n v="1"/>
  </r>
  <r>
    <s v="Aeronautical Engineering"/>
    <s v="24BAE053"/>
    <s v="SRI VARSHAN S "/>
    <n v="2"/>
    <x v="8"/>
    <x v="8"/>
    <n v="37"/>
    <n v="44"/>
    <n v="81"/>
    <n v="-7"/>
    <s v="Pass"/>
    <n v="1"/>
    <n v="9"/>
    <n v="3"/>
    <n v="1"/>
  </r>
  <r>
    <s v="Aeronautical Engineering"/>
    <s v="24BAE053"/>
    <s v="SRI VARSHAN S "/>
    <n v="2"/>
    <x v="9"/>
    <x v="9"/>
    <n v="32"/>
    <n v="34"/>
    <n v="66"/>
    <n v="-2"/>
    <s v="Pass"/>
    <n v="1"/>
    <n v="7"/>
    <n v="3"/>
    <n v="1"/>
  </r>
  <r>
    <s v="Aeronautical Engineering"/>
    <s v="24BAE053"/>
    <s v="SRI VARSHAN S "/>
    <n v="1"/>
    <x v="10"/>
    <x v="10"/>
    <n v="93"/>
    <n v="0"/>
    <n v="93"/>
    <n v="0"/>
    <s v="Pass"/>
    <n v="1"/>
    <n v="10"/>
    <n v="1"/>
    <n v="0"/>
  </r>
  <r>
    <s v="Aeronautical Engineering"/>
    <s v="24BAE053"/>
    <s v="SRI VARSHAN S "/>
    <n v="1"/>
    <x v="11"/>
    <x v="11"/>
    <n v="28"/>
    <n v="30"/>
    <n v="58"/>
    <n v="-2"/>
    <s v="Pass"/>
    <n v="1"/>
    <n v="8"/>
    <n v="3"/>
    <n v="1"/>
  </r>
  <r>
    <s v="Aeronautical Engineering"/>
    <s v="24BAE053"/>
    <s v="SRI VARSHAN S "/>
    <n v="1"/>
    <x v="12"/>
    <x v="12"/>
    <n v="73"/>
    <n v="0"/>
    <n v="73"/>
    <n v="0"/>
    <s v="Pass"/>
    <n v="1"/>
    <n v="8"/>
    <n v="1"/>
    <n v="0"/>
  </r>
  <r>
    <s v="Aeronautical Engineering"/>
    <s v="24BAE053"/>
    <s v="SRI VARSHAN S "/>
    <n v="1"/>
    <x v="13"/>
    <x v="13"/>
    <n v="26"/>
    <n v="33"/>
    <n v="59"/>
    <n v="-7"/>
    <s v="Pass"/>
    <n v="1"/>
    <n v="6"/>
    <n v="1"/>
    <n v="1"/>
  </r>
  <r>
    <s v="Aeronautical Engineering"/>
    <s v="24BAE053"/>
    <s v="SRI VARSHAN S "/>
    <n v="1"/>
    <x v="14"/>
    <x v="14"/>
    <n v="81"/>
    <n v="0"/>
    <n v="81"/>
    <n v="0"/>
    <s v="Pass"/>
    <n v="1"/>
    <n v="9"/>
    <n v="1"/>
    <n v="0"/>
  </r>
  <r>
    <s v="Aeronautical Engineering"/>
    <s v="24BAE053"/>
    <s v="SRI VARSHAN S "/>
    <n v="1"/>
    <x v="15"/>
    <x v="15"/>
    <n v="80"/>
    <n v="0"/>
    <n v="80"/>
    <n v="0"/>
    <s v="Pass"/>
    <n v="1"/>
    <n v="8"/>
    <n v="1"/>
    <n v="0"/>
  </r>
  <r>
    <s v="Aeronautical Engineering"/>
    <s v="24BAE053"/>
    <s v="SRI VARSHAN S "/>
    <n v="1"/>
    <x v="16"/>
    <x v="16"/>
    <n v="91"/>
    <n v="0"/>
    <n v="91"/>
    <n v="0"/>
    <s v="Pass"/>
    <n v="1"/>
    <n v="10"/>
    <n v="1"/>
    <n v="0"/>
  </r>
  <r>
    <s v="Aeronautical Engineering"/>
    <s v="24BAE053"/>
    <s v="SRI VARSHAN S "/>
    <n v="1"/>
    <x v="17"/>
    <x v="17"/>
    <n v="45"/>
    <n v="44"/>
    <n v="89"/>
    <n v="1"/>
    <s v="Pass"/>
    <n v="1"/>
    <n v="9"/>
    <n v="4"/>
    <n v="1"/>
  </r>
  <r>
    <s v="Aeronautical Engineering"/>
    <s v="24BAE053"/>
    <s v="SRI VARSHAN S "/>
    <n v="1"/>
    <x v="18"/>
    <x v="18"/>
    <n v="40"/>
    <n v="42"/>
    <n v="82"/>
    <n v="-2"/>
    <s v="Pass"/>
    <n v="1"/>
    <n v="8"/>
    <n v="3"/>
    <n v="1"/>
  </r>
  <r>
    <s v="Aeronautical Engineering"/>
    <s v="24BAE053"/>
    <s v="SRI VARSHAN S "/>
    <n v="1"/>
    <x v="19"/>
    <x v="19"/>
    <n v="39"/>
    <n v="44"/>
    <n v="83"/>
    <n v="-5"/>
    <s v="Pass"/>
    <n v="1"/>
    <n v="9"/>
    <n v="4"/>
    <n v="1"/>
  </r>
  <r>
    <s v="Aeronautical Engineering"/>
    <s v="24BAE054"/>
    <s v="SUBHISH S R "/>
    <n v="2"/>
    <x v="1"/>
    <x v="1"/>
    <n v="35"/>
    <n v="13"/>
    <n v="48"/>
    <n v="22"/>
    <s v="Fail"/>
    <n v="0"/>
    <n v="0"/>
    <n v="4"/>
    <n v="1"/>
  </r>
  <r>
    <s v="Aeronautical Engineering"/>
    <s v="24BAE054"/>
    <s v="SUBHISH S R "/>
    <n v="2"/>
    <x v="9"/>
    <x v="9"/>
    <n v="20"/>
    <n v="4"/>
    <n v="24"/>
    <n v="16"/>
    <s v="Fail"/>
    <n v="0"/>
    <n v="0"/>
    <n v="3"/>
    <n v="1"/>
  </r>
  <r>
    <s v="Aeronautical Engineering"/>
    <s v="24BAE054"/>
    <s v="SUBHISH S R "/>
    <n v="2"/>
    <x v="0"/>
    <x v="0"/>
    <n v="36"/>
    <n v="28"/>
    <n v="64"/>
    <n v="8"/>
    <s v="Pass"/>
    <n v="1"/>
    <n v="7"/>
    <n v="4"/>
    <n v="1"/>
  </r>
  <r>
    <s v="Aeronautical Engineering"/>
    <s v="24BAE054"/>
    <s v="SUBHISH S R "/>
    <n v="2"/>
    <x v="11"/>
    <x v="11"/>
    <n v="2"/>
    <n v="31"/>
    <n v="33"/>
    <n v="-29"/>
    <s v="Fail"/>
    <n v="0"/>
    <n v="0"/>
    <n v="3"/>
    <n v="1"/>
  </r>
  <r>
    <s v="Aeronautical Engineering"/>
    <s v="24BAE054"/>
    <s v="SUBHISH S R "/>
    <n v="2"/>
    <x v="2"/>
    <x v="2"/>
    <n v="75"/>
    <n v="0"/>
    <n v="75"/>
    <n v="0"/>
    <s v="Pass"/>
    <n v="1"/>
    <n v="8"/>
    <n v="1"/>
    <n v="0"/>
  </r>
  <r>
    <s v="Aeronautical Engineering"/>
    <s v="24BAE054"/>
    <s v="SUBHISH S R "/>
    <n v="2"/>
    <x v="13"/>
    <x v="13"/>
    <n v="23"/>
    <n v="39"/>
    <n v="62"/>
    <n v="-16"/>
    <s v="Pass"/>
    <n v="1"/>
    <n v="7"/>
    <n v="1"/>
    <n v="1"/>
  </r>
  <r>
    <s v="Aeronautical Engineering"/>
    <s v="24BAE054"/>
    <s v="SUBHISH S R "/>
    <n v="2"/>
    <x v="3"/>
    <x v="3"/>
    <n v="30"/>
    <n v="27"/>
    <n v="57"/>
    <n v="3"/>
    <s v="Pass"/>
    <n v="1"/>
    <n v="6"/>
    <n v="1"/>
    <n v="1"/>
  </r>
  <r>
    <s v="Aeronautical Engineering"/>
    <s v="24BAE054"/>
    <s v="SUBHISH S R "/>
    <n v="2"/>
    <x v="4"/>
    <x v="4"/>
    <n v="24"/>
    <n v="37"/>
    <n v="61"/>
    <n v="-13"/>
    <s v="Pass"/>
    <n v="1"/>
    <n v="6"/>
    <n v="2"/>
    <n v="1"/>
  </r>
  <r>
    <s v="Aeronautical Engineering"/>
    <s v="24BAE054"/>
    <s v="SUBHISH S R "/>
    <n v="2"/>
    <x v="54"/>
    <x v="54"/>
    <n v="86"/>
    <n v="0"/>
    <n v="86"/>
    <n v="0"/>
    <s v="Pass"/>
    <n v="1"/>
    <n v="9"/>
    <n v="1"/>
    <n v="0"/>
  </r>
  <r>
    <s v="Aeronautical Engineering"/>
    <s v="24BAE054"/>
    <s v="SUBHISH S R "/>
    <n v="2"/>
    <x v="6"/>
    <x v="6"/>
    <n v="92"/>
    <n v="0"/>
    <n v="92"/>
    <n v="0"/>
    <s v="Pass"/>
    <n v="1"/>
    <n v="10"/>
    <n v="1"/>
    <n v="0"/>
  </r>
  <r>
    <s v="Aeronautical Engineering"/>
    <s v="24BAE054"/>
    <s v="SUBHISH S R "/>
    <n v="2"/>
    <x v="7"/>
    <x v="7"/>
    <n v="33"/>
    <n v="24"/>
    <n v="57"/>
    <n v="9"/>
    <s v="Pass"/>
    <n v="1"/>
    <n v="6"/>
    <n v="4"/>
    <n v="1"/>
  </r>
  <r>
    <s v="Aeronautical Engineering"/>
    <s v="24BAE054"/>
    <s v="SUBHISH S R "/>
    <n v="2"/>
    <x v="8"/>
    <x v="8"/>
    <n v="16"/>
    <n v="42"/>
    <n v="58"/>
    <n v="-26"/>
    <s v="Pass"/>
    <n v="1"/>
    <n v="6"/>
    <n v="3"/>
    <n v="1"/>
  </r>
  <r>
    <s v="Aeronautical Engineering"/>
    <s v="24BAE054"/>
    <s v="SUBHISH S R "/>
    <n v="2"/>
    <x v="19"/>
    <x v="19"/>
    <n v="27"/>
    <n v="0"/>
    <n v="27"/>
    <n v="0"/>
    <s v="Fail"/>
    <n v="0"/>
    <n v="0"/>
    <n v="4"/>
    <n v="0"/>
  </r>
  <r>
    <s v="Aeronautical Engineering"/>
    <s v="24BAE054"/>
    <s v="SUBHISH S R "/>
    <n v="1"/>
    <x v="10"/>
    <x v="10"/>
    <n v="90"/>
    <n v="0"/>
    <n v="90"/>
    <n v="0"/>
    <s v="Pass"/>
    <n v="1"/>
    <n v="9"/>
    <n v="1"/>
    <n v="0"/>
  </r>
  <r>
    <s v="Aeronautical Engineering"/>
    <s v="24BAE054"/>
    <s v="SUBHISH S R "/>
    <n v="1"/>
    <x v="11"/>
    <x v="11"/>
    <n v="2"/>
    <n v="0"/>
    <n v="2"/>
    <n v="0"/>
    <s v="Fail"/>
    <n v="0"/>
    <n v="0"/>
    <n v="3"/>
    <n v="0"/>
  </r>
  <r>
    <s v="Aeronautical Engineering"/>
    <s v="24BAE054"/>
    <s v="SUBHISH S R "/>
    <n v="1"/>
    <x v="12"/>
    <x v="12"/>
    <n v="50"/>
    <n v="0"/>
    <n v="50"/>
    <n v="0"/>
    <s v="Pass"/>
    <n v="1"/>
    <n v="5"/>
    <n v="1"/>
    <n v="0"/>
  </r>
  <r>
    <s v="Aeronautical Engineering"/>
    <s v="24BAE054"/>
    <s v="SUBHISH S R "/>
    <n v="1"/>
    <x v="13"/>
    <x v="13"/>
    <n v="23"/>
    <n v="12"/>
    <n v="35"/>
    <n v="11"/>
    <s v="Fail"/>
    <n v="0"/>
    <n v="0"/>
    <n v="1"/>
    <n v="1"/>
  </r>
  <r>
    <s v="Aeronautical Engineering"/>
    <s v="24BAE054"/>
    <s v="SUBHISH S R "/>
    <n v="1"/>
    <x v="36"/>
    <x v="36"/>
    <n v="81"/>
    <n v="0"/>
    <n v="81"/>
    <n v="0"/>
    <s v="Pass"/>
    <n v="1"/>
    <n v="9"/>
    <n v="1"/>
    <n v="0"/>
  </r>
  <r>
    <s v="Aeronautical Engineering"/>
    <s v="24BAE054"/>
    <s v="SUBHISH S R "/>
    <n v="1"/>
    <x v="15"/>
    <x v="15"/>
    <n v="85"/>
    <n v="0"/>
    <n v="85"/>
    <n v="0"/>
    <s v="Pass"/>
    <n v="1"/>
    <n v="9"/>
    <n v="1"/>
    <n v="0"/>
  </r>
  <r>
    <s v="Aeronautical Engineering"/>
    <s v="24BAE054"/>
    <s v="SUBHISH S R "/>
    <n v="1"/>
    <x v="16"/>
    <x v="16"/>
    <n v="75"/>
    <n v="0"/>
    <n v="75"/>
    <n v="0"/>
    <s v="Pass"/>
    <n v="1"/>
    <n v="8"/>
    <n v="1"/>
    <n v="0"/>
  </r>
  <r>
    <s v="Aeronautical Engineering"/>
    <s v="24BAE054"/>
    <s v="SUBHISH S R "/>
    <n v="1"/>
    <x v="17"/>
    <x v="17"/>
    <n v="37"/>
    <n v="23"/>
    <n v="60"/>
    <n v="14"/>
    <s v="Pass"/>
    <n v="1"/>
    <n v="6"/>
    <n v="4"/>
    <n v="1"/>
  </r>
  <r>
    <s v="Aeronautical Engineering"/>
    <s v="24BAE054"/>
    <s v="SUBHISH S R "/>
    <n v="1"/>
    <x v="18"/>
    <x v="18"/>
    <n v="35"/>
    <n v="27"/>
    <n v="62"/>
    <n v="8"/>
    <s v="Pass"/>
    <n v="1"/>
    <n v="6"/>
    <n v="3"/>
    <n v="1"/>
  </r>
  <r>
    <s v="Aeronautical Engineering"/>
    <s v="24BAE054"/>
    <s v="SUBHISH S R "/>
    <n v="1"/>
    <x v="19"/>
    <x v="19"/>
    <n v="27"/>
    <n v="7"/>
    <n v="34"/>
    <n v="20"/>
    <s v="Fail"/>
    <n v="0"/>
    <n v="0"/>
    <n v="4"/>
    <n v="1"/>
  </r>
  <r>
    <s v="Aeronautical Engineering"/>
    <s v="24BAE055"/>
    <s v="SUCHIWRAT TAMRAKAR "/>
    <n v="2"/>
    <x v="1"/>
    <x v="1"/>
    <n v="36"/>
    <n v="7"/>
    <n v="43"/>
    <n v="29"/>
    <s v="Fail"/>
    <n v="0"/>
    <n v="0"/>
    <n v="4"/>
    <n v="1"/>
  </r>
  <r>
    <s v="Aeronautical Engineering"/>
    <s v="24BAE055"/>
    <s v="SUCHIWRAT TAMRAKAR "/>
    <n v="2"/>
    <x v="0"/>
    <x v="0"/>
    <n v="42"/>
    <n v="32"/>
    <n v="74"/>
    <n v="10"/>
    <s v="Pass"/>
    <n v="1"/>
    <n v="8"/>
    <n v="4"/>
    <n v="1"/>
  </r>
  <r>
    <s v="Aeronautical Engineering"/>
    <s v="24BAE055"/>
    <s v="SUCHIWRAT TAMRAKAR "/>
    <n v="2"/>
    <x v="2"/>
    <x v="2"/>
    <n v="79"/>
    <n v="0"/>
    <n v="79"/>
    <n v="0"/>
    <s v="Pass"/>
    <n v="1"/>
    <n v="8"/>
    <n v="1"/>
    <n v="0"/>
  </r>
  <r>
    <s v="Aeronautical Engineering"/>
    <s v="24BAE055"/>
    <s v="SUCHIWRAT TAMRAKAR "/>
    <n v="2"/>
    <x v="3"/>
    <x v="3"/>
    <n v="37"/>
    <n v="28"/>
    <n v="65"/>
    <n v="9"/>
    <s v="Pass"/>
    <n v="1"/>
    <n v="7"/>
    <n v="1"/>
    <n v="1"/>
  </r>
  <r>
    <s v="Aeronautical Engineering"/>
    <s v="24BAE055"/>
    <s v="SUCHIWRAT TAMRAKAR "/>
    <n v="2"/>
    <x v="20"/>
    <x v="20"/>
    <n v="33"/>
    <n v="34"/>
    <n v="67"/>
    <n v="-1"/>
    <s v="Pass"/>
    <n v="1"/>
    <n v="7"/>
    <n v="2"/>
    <n v="1"/>
  </r>
  <r>
    <s v="Aeronautical Engineering"/>
    <s v="24BAE055"/>
    <s v="SUCHIWRAT TAMRAKAR "/>
    <n v="2"/>
    <x v="38"/>
    <x v="38"/>
    <n v="86"/>
    <n v="0"/>
    <n v="86"/>
    <n v="0"/>
    <s v="Pass"/>
    <n v="1"/>
    <n v="9"/>
    <n v="1"/>
    <n v="0"/>
  </r>
  <r>
    <s v="Aeronautical Engineering"/>
    <s v="24BAE055"/>
    <s v="SUCHIWRAT TAMRAKAR "/>
    <n v="2"/>
    <x v="6"/>
    <x v="6"/>
    <n v="92"/>
    <n v="0"/>
    <n v="92"/>
    <n v="0"/>
    <s v="Pass"/>
    <n v="1"/>
    <n v="10"/>
    <n v="1"/>
    <n v="0"/>
  </r>
  <r>
    <s v="Aeronautical Engineering"/>
    <s v="24BAE055"/>
    <s v="SUCHIWRAT TAMRAKAR "/>
    <n v="2"/>
    <x v="7"/>
    <x v="7"/>
    <n v="38"/>
    <n v="23"/>
    <n v="61"/>
    <n v="15"/>
    <s v="Pass"/>
    <n v="1"/>
    <n v="7"/>
    <n v="4"/>
    <n v="1"/>
  </r>
  <r>
    <s v="Aeronautical Engineering"/>
    <s v="24BAE055"/>
    <s v="SUCHIWRAT TAMRAKAR "/>
    <n v="2"/>
    <x v="8"/>
    <x v="8"/>
    <n v="30"/>
    <n v="35"/>
    <n v="65"/>
    <n v="-5"/>
    <s v="Pass"/>
    <n v="1"/>
    <n v="7"/>
    <n v="3"/>
    <n v="1"/>
  </r>
  <r>
    <s v="Aeronautical Engineering"/>
    <s v="24BAE055"/>
    <s v="SUCHIWRAT TAMRAKAR "/>
    <n v="2"/>
    <x v="9"/>
    <x v="9"/>
    <n v="27"/>
    <n v="31"/>
    <n v="58"/>
    <n v="-4"/>
    <s v="Pass"/>
    <n v="1"/>
    <n v="6"/>
    <n v="3"/>
    <n v="1"/>
  </r>
  <r>
    <s v="Aeronautical Engineering"/>
    <s v="24BAE055"/>
    <s v="SUCHIWRAT TAMRAKAR "/>
    <n v="1"/>
    <x v="10"/>
    <x v="10"/>
    <n v="91"/>
    <n v="0"/>
    <n v="91"/>
    <n v="0"/>
    <s v="Pass"/>
    <n v="1"/>
    <n v="10"/>
    <n v="1"/>
    <n v="0"/>
  </r>
  <r>
    <s v="Aeronautical Engineering"/>
    <s v="24BAE055"/>
    <s v="SUCHIWRAT TAMRAKAR "/>
    <n v="1"/>
    <x v="11"/>
    <x v="11"/>
    <n v="25"/>
    <n v="30"/>
    <n v="55"/>
    <n v="-5"/>
    <s v="Pass"/>
    <n v="1"/>
    <n v="7"/>
    <n v="3"/>
    <n v="1"/>
  </r>
  <r>
    <s v="Aeronautical Engineering"/>
    <s v="24BAE055"/>
    <s v="SUCHIWRAT TAMRAKAR "/>
    <n v="1"/>
    <x v="12"/>
    <x v="12"/>
    <n v="62"/>
    <n v="0"/>
    <n v="62"/>
    <n v="0"/>
    <s v="Pass"/>
    <n v="1"/>
    <n v="7"/>
    <n v="1"/>
    <n v="0"/>
  </r>
  <r>
    <s v="Aeronautical Engineering"/>
    <s v="24BAE055"/>
    <s v="SUCHIWRAT TAMRAKAR "/>
    <n v="1"/>
    <x v="13"/>
    <x v="13"/>
    <n v="28"/>
    <n v="42"/>
    <n v="70"/>
    <n v="-14"/>
    <s v="Pass"/>
    <n v="1"/>
    <n v="7"/>
    <n v="1"/>
    <n v="1"/>
  </r>
  <r>
    <s v="Aeronautical Engineering"/>
    <s v="24BAE055"/>
    <s v="SUCHIWRAT TAMRAKAR "/>
    <n v="1"/>
    <x v="22"/>
    <x v="22"/>
    <n v="88"/>
    <n v="0"/>
    <n v="88"/>
    <n v="0"/>
    <s v="Pass"/>
    <n v="1"/>
    <n v="9"/>
    <n v="1"/>
    <n v="0"/>
  </r>
  <r>
    <s v="Aeronautical Engineering"/>
    <s v="24BAE055"/>
    <s v="SUCHIWRAT TAMRAKAR "/>
    <n v="1"/>
    <x v="15"/>
    <x v="15"/>
    <n v="90"/>
    <n v="0"/>
    <n v="90"/>
    <n v="0"/>
    <s v="Pass"/>
    <n v="1"/>
    <n v="9"/>
    <n v="1"/>
    <n v="0"/>
  </r>
  <r>
    <s v="Aeronautical Engineering"/>
    <s v="24BAE055"/>
    <s v="SUCHIWRAT TAMRAKAR "/>
    <n v="1"/>
    <x v="16"/>
    <x v="16"/>
    <n v="90"/>
    <n v="0"/>
    <n v="90"/>
    <n v="0"/>
    <s v="Pass"/>
    <n v="1"/>
    <n v="9"/>
    <n v="1"/>
    <n v="0"/>
  </r>
  <r>
    <s v="Aeronautical Engineering"/>
    <s v="24BAE055"/>
    <s v="SUCHIWRAT TAMRAKAR "/>
    <n v="1"/>
    <x v="17"/>
    <x v="17"/>
    <n v="37"/>
    <n v="30"/>
    <n v="67"/>
    <n v="7"/>
    <s v="Pass"/>
    <n v="1"/>
    <n v="7"/>
    <n v="4"/>
    <n v="1"/>
  </r>
  <r>
    <s v="Aeronautical Engineering"/>
    <s v="24BAE055"/>
    <s v="SUCHIWRAT TAMRAKAR "/>
    <n v="1"/>
    <x v="18"/>
    <x v="18"/>
    <n v="37"/>
    <n v="40"/>
    <n v="77"/>
    <n v="-3"/>
    <s v="Pass"/>
    <n v="1"/>
    <n v="8"/>
    <n v="3"/>
    <n v="1"/>
  </r>
  <r>
    <s v="Aeronautical Engineering"/>
    <s v="24BAE055"/>
    <s v="SUCHIWRAT TAMRAKAR "/>
    <n v="1"/>
    <x v="19"/>
    <x v="19"/>
    <n v="34"/>
    <n v="34"/>
    <n v="68"/>
    <n v="0"/>
    <s v="Pass"/>
    <n v="1"/>
    <n v="8"/>
    <n v="4"/>
    <n v="1"/>
  </r>
  <r>
    <s v="Aeronautical Engineering"/>
    <s v="24BAE056"/>
    <s v="SUGIRTHAN G "/>
    <n v="2"/>
    <x v="7"/>
    <x v="7"/>
    <n v="33"/>
    <n v="12"/>
    <n v="45"/>
    <n v="21"/>
    <s v="Fail"/>
    <n v="0"/>
    <n v="0"/>
    <n v="4"/>
    <n v="1"/>
  </r>
  <r>
    <s v="Aeronautical Engineering"/>
    <s v="24BAE056"/>
    <s v="SUGIRTHAN G "/>
    <n v="2"/>
    <x v="8"/>
    <x v="8"/>
    <n v="13"/>
    <n v="30"/>
    <n v="43"/>
    <n v="-17"/>
    <s v="Fail"/>
    <n v="0"/>
    <n v="0"/>
    <n v="3"/>
    <n v="1"/>
  </r>
  <r>
    <s v="Aeronautical Engineering"/>
    <s v="24BAE056"/>
    <s v="SUGIRTHAN G "/>
    <n v="2"/>
    <x v="0"/>
    <x v="0"/>
    <n v="38"/>
    <n v="24"/>
    <n v="62"/>
    <n v="14"/>
    <s v="Pass"/>
    <n v="1"/>
    <n v="7"/>
    <n v="4"/>
    <n v="1"/>
  </r>
  <r>
    <s v="Aeronautical Engineering"/>
    <s v="24BAE056"/>
    <s v="SUGIRTHAN G "/>
    <n v="2"/>
    <x v="1"/>
    <x v="1"/>
    <n v="37"/>
    <n v="24"/>
    <n v="61"/>
    <n v="13"/>
    <s v="Pass"/>
    <n v="1"/>
    <n v="6"/>
    <n v="4"/>
    <n v="1"/>
  </r>
  <r>
    <s v="Aeronautical Engineering"/>
    <s v="24BAE056"/>
    <s v="SUGIRTHAN G "/>
    <n v="2"/>
    <x v="11"/>
    <x v="11"/>
    <n v="22"/>
    <n v="19"/>
    <n v="41"/>
    <n v="3"/>
    <s v="Fail"/>
    <n v="0"/>
    <n v="0"/>
    <n v="3"/>
    <n v="1"/>
  </r>
  <r>
    <s v="Aeronautical Engineering"/>
    <s v="24BAE056"/>
    <s v="SUGIRTHAN G "/>
    <n v="2"/>
    <x v="2"/>
    <x v="2"/>
    <n v="82"/>
    <n v="0"/>
    <n v="82"/>
    <n v="0"/>
    <s v="Pass"/>
    <n v="1"/>
    <n v="9"/>
    <n v="1"/>
    <n v="0"/>
  </r>
  <r>
    <s v="Aeronautical Engineering"/>
    <s v="24BAE056"/>
    <s v="SUGIRTHAN G "/>
    <n v="2"/>
    <x v="3"/>
    <x v="3"/>
    <n v="35"/>
    <n v="27"/>
    <n v="62"/>
    <n v="8"/>
    <s v="Pass"/>
    <n v="1"/>
    <n v="7"/>
    <n v="1"/>
    <n v="1"/>
  </r>
  <r>
    <s v="Aeronautical Engineering"/>
    <s v="24BAE056"/>
    <s v="SUGIRTHAN G "/>
    <n v="2"/>
    <x v="20"/>
    <x v="20"/>
    <n v="26"/>
    <n v="38"/>
    <n v="64"/>
    <n v="-12"/>
    <s v="Pass"/>
    <n v="1"/>
    <n v="7"/>
    <n v="2"/>
    <n v="1"/>
  </r>
  <r>
    <s v="Aeronautical Engineering"/>
    <s v="24BAE056"/>
    <s v="SUGIRTHAN G "/>
    <n v="2"/>
    <x v="52"/>
    <x v="52"/>
    <n v="84"/>
    <n v="0"/>
    <n v="84"/>
    <n v="0"/>
    <s v="Pass"/>
    <n v="1"/>
    <n v="9"/>
    <n v="1"/>
    <n v="0"/>
  </r>
  <r>
    <s v="Aeronautical Engineering"/>
    <s v="24BAE056"/>
    <s v="SUGIRTHAN G "/>
    <n v="2"/>
    <x v="6"/>
    <x v="6"/>
    <n v="92"/>
    <n v="0"/>
    <n v="92"/>
    <n v="0"/>
    <s v="Pass"/>
    <n v="1"/>
    <n v="10"/>
    <n v="1"/>
    <n v="0"/>
  </r>
  <r>
    <s v="Aeronautical Engineering"/>
    <s v="24BAE056"/>
    <s v="SUGIRTHAN G "/>
    <n v="2"/>
    <x v="9"/>
    <x v="9"/>
    <n v="24"/>
    <n v="32"/>
    <n v="56"/>
    <n v="-8"/>
    <s v="Pass"/>
    <n v="1"/>
    <n v="6"/>
    <n v="3"/>
    <n v="1"/>
  </r>
  <r>
    <s v="Aeronautical Engineering"/>
    <s v="24BAE056"/>
    <s v="SUGIRTHAN G "/>
    <n v="1"/>
    <x v="10"/>
    <x v="10"/>
    <n v="93"/>
    <n v="0"/>
    <n v="93"/>
    <n v="0"/>
    <s v="Pass"/>
    <n v="1"/>
    <n v="10"/>
    <n v="1"/>
    <n v="0"/>
  </r>
  <r>
    <s v="Aeronautical Engineering"/>
    <s v="24BAE056"/>
    <s v="SUGIRTHAN G "/>
    <n v="1"/>
    <x v="11"/>
    <x v="11"/>
    <n v="22"/>
    <n v="12"/>
    <n v="34"/>
    <n v="10"/>
    <s v="Fail"/>
    <n v="0"/>
    <n v="0"/>
    <n v="3"/>
    <n v="1"/>
  </r>
  <r>
    <s v="Aeronautical Engineering"/>
    <s v="24BAE056"/>
    <s v="SUGIRTHAN G "/>
    <n v="1"/>
    <x v="12"/>
    <x v="12"/>
    <n v="82"/>
    <n v="0"/>
    <n v="82"/>
    <n v="0"/>
    <s v="Pass"/>
    <n v="1"/>
    <n v="9"/>
    <n v="1"/>
    <n v="0"/>
  </r>
  <r>
    <s v="Aeronautical Engineering"/>
    <s v="24BAE056"/>
    <s v="SUGIRTHAN G "/>
    <n v="1"/>
    <x v="13"/>
    <x v="13"/>
    <n v="23"/>
    <n v="38"/>
    <n v="61"/>
    <n v="-15"/>
    <s v="Pass"/>
    <n v="1"/>
    <n v="6"/>
    <n v="1"/>
    <n v="1"/>
  </r>
  <r>
    <s v="Aeronautical Engineering"/>
    <s v="24BAE056"/>
    <s v="SUGIRTHAN G "/>
    <n v="1"/>
    <x v="43"/>
    <x v="43"/>
    <n v="73"/>
    <n v="0"/>
    <n v="73"/>
    <n v="0"/>
    <s v="Pass"/>
    <n v="1"/>
    <n v="8"/>
    <n v="1"/>
    <n v="0"/>
  </r>
  <r>
    <s v="Aeronautical Engineering"/>
    <s v="24BAE056"/>
    <s v="SUGIRTHAN G "/>
    <n v="1"/>
    <x v="15"/>
    <x v="15"/>
    <n v="90"/>
    <n v="0"/>
    <n v="90"/>
    <n v="0"/>
    <s v="Pass"/>
    <n v="1"/>
    <n v="9"/>
    <n v="1"/>
    <n v="0"/>
  </r>
  <r>
    <s v="Aeronautical Engineering"/>
    <s v="24BAE056"/>
    <s v="SUGIRTHAN G "/>
    <n v="1"/>
    <x v="16"/>
    <x v="16"/>
    <n v="86"/>
    <n v="0"/>
    <n v="86"/>
    <n v="0"/>
    <s v="Pass"/>
    <n v="1"/>
    <n v="9"/>
    <n v="1"/>
    <n v="0"/>
  </r>
  <r>
    <s v="Aeronautical Engineering"/>
    <s v="24BAE056"/>
    <s v="SUGIRTHAN G "/>
    <n v="1"/>
    <x v="17"/>
    <x v="17"/>
    <n v="37"/>
    <n v="25"/>
    <n v="62"/>
    <n v="12"/>
    <s v="Pass"/>
    <n v="1"/>
    <n v="6"/>
    <n v="4"/>
    <n v="1"/>
  </r>
  <r>
    <s v="Aeronautical Engineering"/>
    <s v="24BAE056"/>
    <s v="SUGIRTHAN G "/>
    <n v="1"/>
    <x v="18"/>
    <x v="18"/>
    <n v="40"/>
    <n v="33"/>
    <n v="73"/>
    <n v="7"/>
    <s v="Pass"/>
    <n v="1"/>
    <n v="8"/>
    <n v="3"/>
    <n v="1"/>
  </r>
  <r>
    <s v="Aeronautical Engineering"/>
    <s v="24BAE056"/>
    <s v="SUGIRTHAN G "/>
    <n v="1"/>
    <x v="19"/>
    <x v="19"/>
    <n v="35"/>
    <n v="40"/>
    <n v="75"/>
    <n v="-5"/>
    <s v="Pass"/>
    <n v="1"/>
    <n v="8"/>
    <n v="4"/>
    <n v="1"/>
  </r>
  <r>
    <s v="Aeronautical Engineering"/>
    <s v="24BAE057"/>
    <s v="SUTHANDIRA C "/>
    <n v="2"/>
    <x v="7"/>
    <x v="7"/>
    <n v="29"/>
    <n v="1"/>
    <n v="30"/>
    <n v="28"/>
    <s v="Fail"/>
    <n v="0"/>
    <n v="0"/>
    <n v="4"/>
    <n v="1"/>
  </r>
  <r>
    <s v="Aeronautical Engineering"/>
    <s v="24BAE057"/>
    <s v="SUTHANDIRA C "/>
    <n v="2"/>
    <x v="0"/>
    <x v="0"/>
    <n v="41"/>
    <n v="23"/>
    <n v="64"/>
    <n v="18"/>
    <s v="Pass"/>
    <n v="1"/>
    <n v="7"/>
    <n v="4"/>
    <n v="1"/>
  </r>
  <r>
    <s v="Aeronautical Engineering"/>
    <s v="24BAE057"/>
    <s v="SUTHANDIRA C "/>
    <n v="2"/>
    <x v="1"/>
    <x v="1"/>
    <n v="41"/>
    <n v="24"/>
    <n v="65"/>
    <n v="17"/>
    <s v="Pass"/>
    <n v="1"/>
    <n v="7"/>
    <n v="4"/>
    <n v="1"/>
  </r>
  <r>
    <s v="Aeronautical Engineering"/>
    <s v="24BAE057"/>
    <s v="SUTHANDIRA C "/>
    <n v="2"/>
    <x v="11"/>
    <x v="11"/>
    <n v="18"/>
    <n v="17"/>
    <n v="35"/>
    <n v="1"/>
    <s v="Fail"/>
    <n v="0"/>
    <n v="0"/>
    <n v="3"/>
    <n v="1"/>
  </r>
  <r>
    <s v="Aeronautical Engineering"/>
    <s v="24BAE057"/>
    <s v="SUTHANDIRA C "/>
    <n v="2"/>
    <x v="2"/>
    <x v="2"/>
    <n v="84"/>
    <n v="0"/>
    <n v="84"/>
    <n v="0"/>
    <s v="Pass"/>
    <n v="1"/>
    <n v="9"/>
    <n v="1"/>
    <n v="0"/>
  </r>
  <r>
    <s v="Aeronautical Engineering"/>
    <s v="24BAE057"/>
    <s v="SUTHANDIRA C "/>
    <n v="2"/>
    <x v="3"/>
    <x v="3"/>
    <n v="35"/>
    <n v="33"/>
    <n v="68"/>
    <n v="2"/>
    <s v="Pass"/>
    <n v="1"/>
    <n v="7"/>
    <n v="1"/>
    <n v="1"/>
  </r>
  <r>
    <s v="Aeronautical Engineering"/>
    <s v="24BAE057"/>
    <s v="SUTHANDIRA C "/>
    <n v="2"/>
    <x v="4"/>
    <x v="4"/>
    <n v="30"/>
    <n v="44"/>
    <n v="74"/>
    <n v="-14"/>
    <s v="Pass"/>
    <n v="1"/>
    <n v="8"/>
    <n v="2"/>
    <n v="1"/>
  </r>
  <r>
    <s v="Aeronautical Engineering"/>
    <s v="24BAE057"/>
    <s v="SUTHANDIRA C "/>
    <n v="2"/>
    <x v="35"/>
    <x v="35"/>
    <n v="84"/>
    <n v="0"/>
    <n v="84"/>
    <n v="0"/>
    <s v="Pass"/>
    <n v="1"/>
    <n v="9"/>
    <n v="1"/>
    <n v="0"/>
  </r>
  <r>
    <s v="Aeronautical Engineering"/>
    <s v="24BAE057"/>
    <s v="SUTHANDIRA C "/>
    <n v="2"/>
    <x v="36"/>
    <x v="36"/>
    <n v="45"/>
    <n v="0"/>
    <n v="45"/>
    <n v="0"/>
    <s v="Fail"/>
    <n v="0"/>
    <n v="0"/>
    <n v="1"/>
    <n v="0"/>
  </r>
  <r>
    <s v="Aeronautical Engineering"/>
    <s v="24BAE057"/>
    <s v="SUTHANDIRA C "/>
    <n v="2"/>
    <x v="6"/>
    <x v="6"/>
    <n v="92"/>
    <n v="0"/>
    <n v="92"/>
    <n v="0"/>
    <s v="Pass"/>
    <n v="1"/>
    <n v="10"/>
    <n v="1"/>
    <n v="0"/>
  </r>
  <r>
    <s v="Aeronautical Engineering"/>
    <s v="24BAE057"/>
    <s v="SUTHANDIRA C "/>
    <n v="2"/>
    <x v="17"/>
    <x v="17"/>
    <n v="30"/>
    <n v="6"/>
    <n v="36"/>
    <n v="24"/>
    <s v="Fail"/>
    <n v="0"/>
    <n v="0"/>
    <n v="4"/>
    <n v="1"/>
  </r>
  <r>
    <s v="Aeronautical Engineering"/>
    <s v="24BAE057"/>
    <s v="SUTHANDIRA C "/>
    <n v="2"/>
    <x v="8"/>
    <x v="8"/>
    <n v="14"/>
    <n v="43"/>
    <n v="57"/>
    <n v="-29"/>
    <s v="Pass"/>
    <n v="1"/>
    <n v="6"/>
    <n v="3"/>
    <n v="1"/>
  </r>
  <r>
    <s v="Aeronautical Engineering"/>
    <s v="24BAE057"/>
    <s v="SUTHANDIRA C "/>
    <n v="2"/>
    <x v="19"/>
    <x v="19"/>
    <n v="29"/>
    <n v="5"/>
    <n v="34"/>
    <n v="24"/>
    <s v="Fail"/>
    <n v="0"/>
    <n v="0"/>
    <n v="4"/>
    <n v="1"/>
  </r>
  <r>
    <s v="Aeronautical Engineering"/>
    <s v="24BAE057"/>
    <s v="SUTHANDIRA C "/>
    <n v="2"/>
    <x v="9"/>
    <x v="9"/>
    <n v="24"/>
    <n v="31"/>
    <n v="55"/>
    <n v="-7"/>
    <s v="Pass"/>
    <n v="1"/>
    <n v="6"/>
    <n v="3"/>
    <n v="1"/>
  </r>
  <r>
    <s v="Aeronautical Engineering"/>
    <s v="24BAE057"/>
    <s v="SUTHANDIRA C "/>
    <n v="1"/>
    <x v="10"/>
    <x v="10"/>
    <n v="90"/>
    <n v="0"/>
    <n v="90"/>
    <n v="0"/>
    <s v="Pass"/>
    <n v="1"/>
    <n v="9"/>
    <n v="1"/>
    <n v="0"/>
  </r>
  <r>
    <s v="Aeronautical Engineering"/>
    <s v="24BAE057"/>
    <s v="SUTHANDIRA C "/>
    <n v="1"/>
    <x v="11"/>
    <x v="11"/>
    <n v="18"/>
    <n v="0"/>
    <n v="18"/>
    <n v="0"/>
    <s v="Fail"/>
    <n v="0"/>
    <n v="0"/>
    <n v="3"/>
    <n v="0"/>
  </r>
  <r>
    <s v="Aeronautical Engineering"/>
    <s v="24BAE057"/>
    <s v="SUTHANDIRA C "/>
    <n v="1"/>
    <x v="12"/>
    <x v="12"/>
    <n v="66"/>
    <n v="0"/>
    <n v="66"/>
    <n v="0"/>
    <s v="Pass"/>
    <n v="1"/>
    <n v="7"/>
    <n v="1"/>
    <n v="0"/>
  </r>
  <r>
    <s v="Aeronautical Engineering"/>
    <s v="24BAE057"/>
    <s v="SUTHANDIRA C "/>
    <n v="1"/>
    <x v="13"/>
    <x v="13"/>
    <n v="29"/>
    <n v="40"/>
    <n v="69"/>
    <n v="-11"/>
    <s v="Pass"/>
    <n v="1"/>
    <n v="7"/>
    <n v="1"/>
    <n v="1"/>
  </r>
  <r>
    <s v="Aeronautical Engineering"/>
    <s v="24BAE057"/>
    <s v="SUTHANDIRA C "/>
    <n v="1"/>
    <x v="36"/>
    <x v="36"/>
    <n v="45"/>
    <n v="0"/>
    <n v="45"/>
    <n v="0"/>
    <s v="Fail"/>
    <n v="0"/>
    <n v="0"/>
    <n v="1"/>
    <n v="0"/>
  </r>
  <r>
    <s v="Aeronautical Engineering"/>
    <s v="24BAE057"/>
    <s v="SUTHANDIRA C "/>
    <n v="1"/>
    <x v="15"/>
    <x v="15"/>
    <n v="90"/>
    <n v="0"/>
    <n v="90"/>
    <n v="0"/>
    <s v="Pass"/>
    <n v="1"/>
    <n v="9"/>
    <n v="1"/>
    <n v="0"/>
  </r>
  <r>
    <s v="Aeronautical Engineering"/>
    <s v="24BAE057"/>
    <s v="SUTHANDIRA C "/>
    <n v="1"/>
    <x v="16"/>
    <x v="16"/>
    <n v="83"/>
    <n v="0"/>
    <n v="83"/>
    <n v="0"/>
    <s v="Pass"/>
    <n v="1"/>
    <n v="9"/>
    <n v="1"/>
    <n v="0"/>
  </r>
  <r>
    <s v="Aeronautical Engineering"/>
    <s v="24BAE057"/>
    <s v="SUTHANDIRA C "/>
    <n v="1"/>
    <x v="17"/>
    <x v="17"/>
    <n v="30"/>
    <n v="9"/>
    <n v="39"/>
    <n v="21"/>
    <s v="Fail"/>
    <n v="0"/>
    <n v="0"/>
    <n v="4"/>
    <n v="1"/>
  </r>
  <r>
    <s v="Aeronautical Engineering"/>
    <s v="24BAE057"/>
    <s v="SUTHANDIRA C "/>
    <n v="1"/>
    <x v="18"/>
    <x v="18"/>
    <n v="35"/>
    <n v="38"/>
    <n v="73"/>
    <n v="-3"/>
    <s v="Pass"/>
    <n v="1"/>
    <n v="8"/>
    <n v="3"/>
    <n v="1"/>
  </r>
  <r>
    <s v="Aeronautical Engineering"/>
    <s v="24BAE057"/>
    <s v="SUTHANDIRA C "/>
    <n v="1"/>
    <x v="19"/>
    <x v="19"/>
    <n v="29"/>
    <n v="17"/>
    <n v="46"/>
    <n v="12"/>
    <s v="Fail"/>
    <n v="0"/>
    <n v="0"/>
    <n v="4"/>
    <n v="1"/>
  </r>
  <r>
    <s v="Aeronautical Engineering"/>
    <s v="24BAE046"/>
    <s v="T S SARVESH "/>
    <n v="2"/>
    <x v="7"/>
    <x v="7"/>
    <n v="36"/>
    <n v="8"/>
    <n v="44"/>
    <n v="28"/>
    <s v="Fail"/>
    <n v="0"/>
    <n v="0"/>
    <n v="4"/>
    <n v="1"/>
  </r>
  <r>
    <s v="Aeronautical Engineering"/>
    <s v="24BAE046"/>
    <s v="T S SARVESH "/>
    <n v="2"/>
    <x v="8"/>
    <x v="8"/>
    <n v="23"/>
    <n v="12"/>
    <n v="35"/>
    <n v="11"/>
    <s v="Fail"/>
    <n v="0"/>
    <n v="0"/>
    <n v="3"/>
    <n v="1"/>
  </r>
  <r>
    <s v="Aeronautical Engineering"/>
    <s v="24BAE046"/>
    <s v="T S SARVESH "/>
    <n v="2"/>
    <x v="0"/>
    <x v="0"/>
    <n v="40"/>
    <n v="27"/>
    <n v="67"/>
    <n v="13"/>
    <s v="Pass"/>
    <n v="1"/>
    <n v="7"/>
    <n v="4"/>
    <n v="1"/>
  </r>
  <r>
    <s v="Aeronautical Engineering"/>
    <s v="24BAE046"/>
    <s v="T S SARVESH "/>
    <n v="2"/>
    <x v="1"/>
    <x v="1"/>
    <n v="36"/>
    <n v="24"/>
    <n v="60"/>
    <n v="12"/>
    <s v="Pass"/>
    <n v="1"/>
    <n v="6"/>
    <n v="4"/>
    <n v="1"/>
  </r>
  <r>
    <s v="Aeronautical Engineering"/>
    <s v="24BAE046"/>
    <s v="T S SARVESH "/>
    <n v="2"/>
    <x v="11"/>
    <x v="11"/>
    <n v="22"/>
    <n v="37"/>
    <n v="59"/>
    <n v="-15"/>
    <s v="Pass"/>
    <n v="1"/>
    <n v="8"/>
    <n v="3"/>
    <n v="1"/>
  </r>
  <r>
    <s v="Aeronautical Engineering"/>
    <s v="24BAE046"/>
    <s v="T S SARVESH "/>
    <n v="2"/>
    <x v="2"/>
    <x v="2"/>
    <n v="88"/>
    <n v="0"/>
    <n v="88"/>
    <n v="0"/>
    <s v="Pass"/>
    <n v="1"/>
    <n v="9"/>
    <n v="1"/>
    <n v="0"/>
  </r>
  <r>
    <s v="Aeronautical Engineering"/>
    <s v="24BAE046"/>
    <s v="T S SARVESH "/>
    <n v="2"/>
    <x v="3"/>
    <x v="3"/>
    <n v="36"/>
    <n v="25"/>
    <n v="61"/>
    <n v="11"/>
    <s v="Pass"/>
    <n v="1"/>
    <n v="6"/>
    <n v="1"/>
    <n v="1"/>
  </r>
  <r>
    <s v="Aeronautical Engineering"/>
    <s v="24BAE046"/>
    <s v="T S SARVESH "/>
    <n v="2"/>
    <x v="4"/>
    <x v="4"/>
    <n v="26"/>
    <n v="27"/>
    <n v="53"/>
    <n v="-1"/>
    <s v="Pass"/>
    <n v="1"/>
    <n v="5"/>
    <n v="2"/>
    <n v="1"/>
  </r>
  <r>
    <s v="Aeronautical Engineering"/>
    <s v="24BAE046"/>
    <s v="T S SARVESH "/>
    <n v="2"/>
    <x v="55"/>
    <x v="55"/>
    <n v="75"/>
    <n v="0"/>
    <n v="75"/>
    <n v="0"/>
    <s v="Pass"/>
    <n v="1"/>
    <n v="8"/>
    <n v="1"/>
    <n v="0"/>
  </r>
  <r>
    <s v="Aeronautical Engineering"/>
    <s v="24BAE046"/>
    <s v="T S SARVESH "/>
    <n v="2"/>
    <x v="6"/>
    <x v="6"/>
    <n v="94"/>
    <n v="0"/>
    <n v="94"/>
    <n v="0"/>
    <s v="Pass"/>
    <n v="1"/>
    <n v="10"/>
    <n v="1"/>
    <n v="0"/>
  </r>
  <r>
    <s v="Aeronautical Engineering"/>
    <s v="24BAE046"/>
    <s v="T S SARVESH "/>
    <n v="2"/>
    <x v="9"/>
    <x v="9"/>
    <n v="24"/>
    <n v="30"/>
    <n v="54"/>
    <n v="-6"/>
    <s v="Pass"/>
    <n v="1"/>
    <n v="5"/>
    <n v="3"/>
    <n v="1"/>
  </r>
  <r>
    <s v="Aeronautical Engineering"/>
    <s v="24BAE046"/>
    <s v="T S SARVESH "/>
    <n v="1"/>
    <x v="10"/>
    <x v="10"/>
    <n v="95"/>
    <n v="0"/>
    <n v="95"/>
    <n v="0"/>
    <s v="Pass"/>
    <n v="1"/>
    <n v="10"/>
    <n v="1"/>
    <n v="0"/>
  </r>
  <r>
    <s v="Aeronautical Engineering"/>
    <s v="24BAE046"/>
    <s v="T S SARVESH "/>
    <n v="1"/>
    <x v="11"/>
    <x v="11"/>
    <n v="22"/>
    <n v="18"/>
    <n v="40"/>
    <n v="4"/>
    <s v="Fail"/>
    <n v="0"/>
    <n v="0"/>
    <n v="3"/>
    <n v="1"/>
  </r>
  <r>
    <s v="Aeronautical Engineering"/>
    <s v="24BAE046"/>
    <s v="T S SARVESH "/>
    <n v="1"/>
    <x v="12"/>
    <x v="12"/>
    <n v="78"/>
    <n v="0"/>
    <n v="78"/>
    <n v="0"/>
    <s v="Pass"/>
    <n v="1"/>
    <n v="8"/>
    <n v="1"/>
    <n v="0"/>
  </r>
  <r>
    <s v="Aeronautical Engineering"/>
    <s v="24BAE046"/>
    <s v="T S SARVESH "/>
    <n v="1"/>
    <x v="13"/>
    <x v="13"/>
    <n v="25"/>
    <n v="36"/>
    <n v="61"/>
    <n v="-11"/>
    <s v="Pass"/>
    <n v="1"/>
    <n v="6"/>
    <n v="1"/>
    <n v="1"/>
  </r>
  <r>
    <s v="Aeronautical Engineering"/>
    <s v="24BAE046"/>
    <s v="T S SARVESH "/>
    <n v="1"/>
    <x v="46"/>
    <x v="46"/>
    <n v="81"/>
    <n v="0"/>
    <n v="81"/>
    <n v="0"/>
    <s v="Pass"/>
    <n v="1"/>
    <n v="9"/>
    <n v="1"/>
    <n v="0"/>
  </r>
  <r>
    <s v="Aeronautical Engineering"/>
    <s v="24BAE046"/>
    <s v="T S SARVESH "/>
    <n v="1"/>
    <x v="15"/>
    <x v="15"/>
    <n v="90"/>
    <n v="0"/>
    <n v="90"/>
    <n v="0"/>
    <s v="Pass"/>
    <n v="1"/>
    <n v="9"/>
    <n v="1"/>
    <n v="0"/>
  </r>
  <r>
    <s v="Aeronautical Engineering"/>
    <s v="24BAE046"/>
    <s v="T S SARVESH "/>
    <n v="1"/>
    <x v="16"/>
    <x v="16"/>
    <n v="80"/>
    <n v="0"/>
    <n v="80"/>
    <n v="0"/>
    <s v="Pass"/>
    <n v="1"/>
    <n v="8"/>
    <n v="1"/>
    <n v="0"/>
  </r>
  <r>
    <s v="Aeronautical Engineering"/>
    <s v="24BAE046"/>
    <s v="T S SARVESH "/>
    <n v="1"/>
    <x v="17"/>
    <x v="17"/>
    <n v="38"/>
    <n v="26"/>
    <n v="64"/>
    <n v="12"/>
    <s v="Pass"/>
    <n v="1"/>
    <n v="7"/>
    <n v="4"/>
    <n v="1"/>
  </r>
  <r>
    <s v="Aeronautical Engineering"/>
    <s v="24BAE046"/>
    <s v="T S SARVESH "/>
    <n v="1"/>
    <x v="18"/>
    <x v="18"/>
    <n v="34"/>
    <n v="37"/>
    <n v="71"/>
    <n v="-3"/>
    <s v="Pass"/>
    <n v="1"/>
    <n v="7"/>
    <n v="3"/>
    <n v="1"/>
  </r>
  <r>
    <s v="Aeronautical Engineering"/>
    <s v="24BAE046"/>
    <s v="T S SARVESH "/>
    <n v="1"/>
    <x v="19"/>
    <x v="19"/>
    <n v="31"/>
    <n v="29"/>
    <n v="60"/>
    <n v="2"/>
    <s v="Pass"/>
    <n v="1"/>
    <n v="7"/>
    <n v="4"/>
    <n v="1"/>
  </r>
  <r>
    <s v="Aeronautical Engineering"/>
    <s v="24BAE058"/>
    <s v="THINAKAR U "/>
    <n v="2"/>
    <x v="8"/>
    <x v="8"/>
    <n v="17"/>
    <n v="30"/>
    <n v="47"/>
    <n v="-13"/>
    <s v="Fail"/>
    <n v="0"/>
    <n v="0"/>
    <n v="3"/>
    <n v="1"/>
  </r>
  <r>
    <s v="Aeronautical Engineering"/>
    <s v="24BAE058"/>
    <s v="THINAKAR U "/>
    <n v="2"/>
    <x v="0"/>
    <x v="0"/>
    <n v="40"/>
    <n v="33"/>
    <n v="73"/>
    <n v="7"/>
    <s v="Pass"/>
    <n v="1"/>
    <n v="8"/>
    <n v="4"/>
    <n v="1"/>
  </r>
  <r>
    <s v="Aeronautical Engineering"/>
    <s v="24BAE058"/>
    <s v="THINAKAR U "/>
    <n v="2"/>
    <x v="1"/>
    <x v="1"/>
    <n v="38"/>
    <n v="24"/>
    <n v="62"/>
    <n v="14"/>
    <s v="Pass"/>
    <n v="1"/>
    <n v="7"/>
    <n v="4"/>
    <n v="1"/>
  </r>
  <r>
    <s v="Aeronautical Engineering"/>
    <s v="24BAE058"/>
    <s v="THINAKAR U "/>
    <n v="2"/>
    <x v="11"/>
    <x v="11"/>
    <n v="21"/>
    <n v="31"/>
    <n v="52"/>
    <n v="-10"/>
    <s v="Pass"/>
    <n v="1"/>
    <n v="6"/>
    <n v="3"/>
    <n v="1"/>
  </r>
  <r>
    <s v="Aeronautical Engineering"/>
    <s v="24BAE058"/>
    <s v="THINAKAR U "/>
    <n v="2"/>
    <x v="2"/>
    <x v="2"/>
    <n v="80"/>
    <n v="0"/>
    <n v="80"/>
    <n v="0"/>
    <s v="Pass"/>
    <n v="1"/>
    <n v="8"/>
    <n v="1"/>
    <n v="0"/>
  </r>
  <r>
    <s v="Aeronautical Engineering"/>
    <s v="24BAE058"/>
    <s v="THINAKAR U "/>
    <n v="2"/>
    <x v="3"/>
    <x v="3"/>
    <n v="38"/>
    <n v="31"/>
    <n v="69"/>
    <n v="7"/>
    <s v="Pass"/>
    <n v="1"/>
    <n v="7"/>
    <n v="1"/>
    <n v="1"/>
  </r>
  <r>
    <s v="Aeronautical Engineering"/>
    <s v="24BAE058"/>
    <s v="THINAKAR U "/>
    <n v="2"/>
    <x v="4"/>
    <x v="4"/>
    <n v="26"/>
    <n v="45"/>
    <n v="71"/>
    <n v="-19"/>
    <s v="Pass"/>
    <n v="1"/>
    <n v="7"/>
    <n v="2"/>
    <n v="1"/>
  </r>
  <r>
    <s v="Aeronautical Engineering"/>
    <s v="24BAE058"/>
    <s v="THINAKAR U "/>
    <n v="2"/>
    <x v="35"/>
    <x v="35"/>
    <n v="79"/>
    <n v="0"/>
    <n v="79"/>
    <n v="0"/>
    <s v="Pass"/>
    <n v="1"/>
    <n v="8"/>
    <n v="1"/>
    <n v="0"/>
  </r>
  <r>
    <s v="Aeronautical Engineering"/>
    <s v="24BAE058"/>
    <s v="THINAKAR U "/>
    <n v="2"/>
    <x v="6"/>
    <x v="6"/>
    <n v="92"/>
    <n v="0"/>
    <n v="92"/>
    <n v="0"/>
    <s v="Pass"/>
    <n v="1"/>
    <n v="10"/>
    <n v="1"/>
    <n v="0"/>
  </r>
  <r>
    <s v="Aeronautical Engineering"/>
    <s v="24BAE058"/>
    <s v="THINAKAR U "/>
    <n v="2"/>
    <x v="7"/>
    <x v="7"/>
    <n v="35"/>
    <n v="23"/>
    <n v="58"/>
    <n v="12"/>
    <s v="Pass"/>
    <n v="1"/>
    <n v="7"/>
    <n v="4"/>
    <n v="1"/>
  </r>
  <r>
    <s v="Aeronautical Engineering"/>
    <s v="24BAE058"/>
    <s v="THINAKAR U "/>
    <n v="2"/>
    <x v="9"/>
    <x v="9"/>
    <n v="25"/>
    <n v="40"/>
    <n v="65"/>
    <n v="-15"/>
    <s v="Pass"/>
    <n v="1"/>
    <n v="7"/>
    <n v="3"/>
    <n v="1"/>
  </r>
  <r>
    <s v="Aeronautical Engineering"/>
    <s v="24BAE058"/>
    <s v="THINAKAR U "/>
    <n v="1"/>
    <x v="10"/>
    <x v="10"/>
    <n v="92"/>
    <n v="0"/>
    <n v="92"/>
    <n v="0"/>
    <s v="Pass"/>
    <n v="1"/>
    <n v="10"/>
    <n v="1"/>
    <n v="0"/>
  </r>
  <r>
    <s v="Aeronautical Engineering"/>
    <s v="24BAE058"/>
    <s v="THINAKAR U "/>
    <n v="1"/>
    <x v="11"/>
    <x v="11"/>
    <n v="21"/>
    <n v="11"/>
    <n v="32"/>
    <n v="10"/>
    <s v="Fail"/>
    <n v="0"/>
    <n v="0"/>
    <n v="3"/>
    <n v="1"/>
  </r>
  <r>
    <s v="Aeronautical Engineering"/>
    <s v="24BAE058"/>
    <s v="THINAKAR U "/>
    <n v="1"/>
    <x v="12"/>
    <x v="12"/>
    <n v="83"/>
    <n v="0"/>
    <n v="83"/>
    <n v="0"/>
    <s v="Pass"/>
    <n v="1"/>
    <n v="9"/>
    <n v="1"/>
    <n v="0"/>
  </r>
  <r>
    <s v="Aeronautical Engineering"/>
    <s v="24BAE058"/>
    <s v="THINAKAR U "/>
    <n v="1"/>
    <x v="13"/>
    <x v="13"/>
    <n v="28"/>
    <n v="42"/>
    <n v="70"/>
    <n v="-14"/>
    <s v="Pass"/>
    <n v="1"/>
    <n v="7"/>
    <n v="1"/>
    <n v="1"/>
  </r>
  <r>
    <s v="Aeronautical Engineering"/>
    <s v="24BAE058"/>
    <s v="THINAKAR U "/>
    <n v="1"/>
    <x v="54"/>
    <x v="54"/>
    <n v="87"/>
    <n v="0"/>
    <n v="87"/>
    <n v="0"/>
    <s v="Pass"/>
    <n v="1"/>
    <n v="9"/>
    <n v="1"/>
    <n v="0"/>
  </r>
  <r>
    <s v="Aeronautical Engineering"/>
    <s v="24BAE058"/>
    <s v="THINAKAR U "/>
    <n v="1"/>
    <x v="15"/>
    <x v="15"/>
    <n v="100"/>
    <n v="0"/>
    <n v="100"/>
    <n v="0"/>
    <s v="Pass"/>
    <n v="1"/>
    <n v="10"/>
    <n v="1"/>
    <n v="0"/>
  </r>
  <r>
    <s v="Aeronautical Engineering"/>
    <s v="24BAE058"/>
    <s v="THINAKAR U "/>
    <n v="1"/>
    <x v="16"/>
    <x v="16"/>
    <n v="85"/>
    <n v="0"/>
    <n v="85"/>
    <n v="0"/>
    <s v="Pass"/>
    <n v="1"/>
    <n v="9"/>
    <n v="1"/>
    <n v="0"/>
  </r>
  <r>
    <s v="Aeronautical Engineering"/>
    <s v="24BAE058"/>
    <s v="THINAKAR U "/>
    <n v="1"/>
    <x v="17"/>
    <x v="17"/>
    <n v="39"/>
    <n v="37"/>
    <n v="76"/>
    <n v="2"/>
    <s v="Pass"/>
    <n v="1"/>
    <n v="8"/>
    <n v="4"/>
    <n v="1"/>
  </r>
  <r>
    <s v="Aeronautical Engineering"/>
    <s v="24BAE058"/>
    <s v="THINAKAR U "/>
    <n v="1"/>
    <x v="18"/>
    <x v="18"/>
    <n v="40"/>
    <n v="34"/>
    <n v="74"/>
    <n v="6"/>
    <s v="Pass"/>
    <n v="1"/>
    <n v="8"/>
    <n v="3"/>
    <n v="1"/>
  </r>
  <r>
    <s v="Aeronautical Engineering"/>
    <s v="24BAE058"/>
    <s v="THINAKAR U "/>
    <n v="1"/>
    <x v="19"/>
    <x v="19"/>
    <n v="32"/>
    <n v="28"/>
    <n v="60"/>
    <n v="4"/>
    <s v="Pass"/>
    <n v="1"/>
    <n v="7"/>
    <n v="4"/>
    <n v="1"/>
  </r>
  <r>
    <s v="Aeronautical Engineering"/>
    <s v="24BAE059"/>
    <s v="THOUFIQ S "/>
    <n v="2"/>
    <x v="0"/>
    <x v="0"/>
    <n v="45"/>
    <n v="33"/>
    <n v="78"/>
    <n v="12"/>
    <s v="Pass"/>
    <n v="1"/>
    <n v="8"/>
    <n v="4"/>
    <n v="1"/>
  </r>
  <r>
    <s v="Aeronautical Engineering"/>
    <s v="24BAE059"/>
    <s v="THOUFIQ S "/>
    <n v="2"/>
    <x v="1"/>
    <x v="1"/>
    <n v="41"/>
    <n v="30"/>
    <n v="71"/>
    <n v="11"/>
    <s v="Pass"/>
    <n v="1"/>
    <n v="7"/>
    <n v="4"/>
    <n v="1"/>
  </r>
  <r>
    <s v="Aeronautical Engineering"/>
    <s v="24BAE059"/>
    <s v="THOUFIQ S "/>
    <n v="2"/>
    <x v="33"/>
    <x v="33"/>
    <n v="53"/>
    <n v="34"/>
    <n v="87"/>
    <n v="19"/>
    <s v="Pass"/>
    <n v="1"/>
    <n v="9"/>
    <n v="2"/>
    <n v="1"/>
  </r>
  <r>
    <s v="Aeronautical Engineering"/>
    <s v="24BAE059"/>
    <s v="THOUFIQ S "/>
    <n v="2"/>
    <x v="2"/>
    <x v="2"/>
    <n v="86"/>
    <n v="0"/>
    <n v="86"/>
    <n v="0"/>
    <s v="Pass"/>
    <n v="1"/>
    <n v="9"/>
    <n v="1"/>
    <n v="0"/>
  </r>
  <r>
    <s v="Aeronautical Engineering"/>
    <s v="24BAE059"/>
    <s v="THOUFIQ S "/>
    <n v="2"/>
    <x v="3"/>
    <x v="3"/>
    <n v="35"/>
    <n v="30"/>
    <n v="65"/>
    <n v="5"/>
    <s v="Pass"/>
    <n v="1"/>
    <n v="7"/>
    <n v="1"/>
    <n v="1"/>
  </r>
  <r>
    <s v="Aeronautical Engineering"/>
    <s v="24BAE059"/>
    <s v="THOUFIQ S "/>
    <n v="2"/>
    <x v="40"/>
    <x v="40"/>
    <n v="91"/>
    <n v="0"/>
    <n v="91"/>
    <n v="0"/>
    <s v="Pass"/>
    <n v="1"/>
    <n v="10"/>
    <n v="1"/>
    <n v="0"/>
  </r>
  <r>
    <s v="Aeronautical Engineering"/>
    <s v="24BAE059"/>
    <s v="THOUFIQ S "/>
    <n v="2"/>
    <x v="6"/>
    <x v="6"/>
    <n v="92"/>
    <n v="0"/>
    <n v="92"/>
    <n v="0"/>
    <s v="Pass"/>
    <n v="1"/>
    <n v="10"/>
    <n v="1"/>
    <n v="0"/>
  </r>
  <r>
    <s v="Aeronautical Engineering"/>
    <s v="24BAE059"/>
    <s v="THOUFIQ S "/>
    <n v="2"/>
    <x v="7"/>
    <x v="7"/>
    <n v="39"/>
    <n v="27"/>
    <n v="66"/>
    <n v="12"/>
    <s v="Pass"/>
    <n v="1"/>
    <n v="7"/>
    <n v="4"/>
    <n v="1"/>
  </r>
  <r>
    <s v="Aeronautical Engineering"/>
    <s v="24BAE059"/>
    <s v="THOUFIQ S "/>
    <n v="2"/>
    <x v="8"/>
    <x v="8"/>
    <n v="27"/>
    <n v="38"/>
    <n v="65"/>
    <n v="-11"/>
    <s v="Pass"/>
    <n v="1"/>
    <n v="7"/>
    <n v="3"/>
    <n v="1"/>
  </r>
  <r>
    <s v="Aeronautical Engineering"/>
    <s v="24BAE059"/>
    <s v="THOUFIQ S "/>
    <n v="2"/>
    <x v="9"/>
    <x v="9"/>
    <n v="31"/>
    <n v="52"/>
    <n v="83"/>
    <n v="-21"/>
    <s v="Pass"/>
    <n v="1"/>
    <n v="8"/>
    <n v="3"/>
    <n v="1"/>
  </r>
  <r>
    <s v="Aeronautical Engineering"/>
    <s v="24BAE059"/>
    <s v="THOUFIQ S "/>
    <n v="1"/>
    <x v="10"/>
    <x v="10"/>
    <n v="93"/>
    <n v="0"/>
    <n v="93"/>
    <n v="0"/>
    <s v="Pass"/>
    <n v="1"/>
    <n v="10"/>
    <n v="1"/>
    <n v="0"/>
  </r>
  <r>
    <s v="Aeronautical Engineering"/>
    <s v="24BAE059"/>
    <s v="THOUFIQ S "/>
    <n v="1"/>
    <x v="11"/>
    <x v="11"/>
    <n v="23"/>
    <n v="30"/>
    <n v="53"/>
    <n v="-7"/>
    <s v="Pass"/>
    <n v="1"/>
    <n v="6"/>
    <n v="3"/>
    <n v="1"/>
  </r>
  <r>
    <s v="Aeronautical Engineering"/>
    <s v="24BAE059"/>
    <s v="THOUFIQ S "/>
    <n v="1"/>
    <x v="12"/>
    <x v="12"/>
    <n v="50"/>
    <n v="0"/>
    <n v="50"/>
    <n v="0"/>
    <s v="Pass"/>
    <n v="1"/>
    <n v="5"/>
    <n v="1"/>
    <n v="0"/>
  </r>
  <r>
    <s v="Aeronautical Engineering"/>
    <s v="24BAE059"/>
    <s v="THOUFIQ S "/>
    <n v="1"/>
    <x v="13"/>
    <x v="13"/>
    <n v="27"/>
    <n v="38"/>
    <n v="65"/>
    <n v="-11"/>
    <s v="Pass"/>
    <n v="1"/>
    <n v="7"/>
    <n v="1"/>
    <n v="1"/>
  </r>
  <r>
    <s v="Aeronautical Engineering"/>
    <s v="24BAE059"/>
    <s v="THOUFIQ S "/>
    <n v="1"/>
    <x v="46"/>
    <x v="46"/>
    <n v="82"/>
    <n v="0"/>
    <n v="82"/>
    <n v="0"/>
    <s v="Pass"/>
    <n v="1"/>
    <n v="9"/>
    <n v="1"/>
    <n v="0"/>
  </r>
  <r>
    <s v="Aeronautical Engineering"/>
    <s v="24BAE059"/>
    <s v="THOUFIQ S "/>
    <n v="1"/>
    <x v="15"/>
    <x v="15"/>
    <n v="85"/>
    <n v="0"/>
    <n v="85"/>
    <n v="0"/>
    <s v="Pass"/>
    <n v="1"/>
    <n v="9"/>
    <n v="1"/>
    <n v="0"/>
  </r>
  <r>
    <s v="Aeronautical Engineering"/>
    <s v="24BAE059"/>
    <s v="THOUFIQ S "/>
    <n v="1"/>
    <x v="16"/>
    <x v="16"/>
    <n v="92"/>
    <n v="0"/>
    <n v="92"/>
    <n v="0"/>
    <s v="Pass"/>
    <n v="1"/>
    <n v="10"/>
    <n v="1"/>
    <n v="0"/>
  </r>
  <r>
    <s v="Aeronautical Engineering"/>
    <s v="24BAE059"/>
    <s v="THOUFIQ S "/>
    <n v="1"/>
    <x v="17"/>
    <x v="17"/>
    <n v="40"/>
    <n v="29"/>
    <n v="69"/>
    <n v="11"/>
    <s v="Pass"/>
    <n v="1"/>
    <n v="7"/>
    <n v="4"/>
    <n v="1"/>
  </r>
  <r>
    <s v="Aeronautical Engineering"/>
    <s v="24BAE059"/>
    <s v="THOUFIQ S "/>
    <n v="1"/>
    <x v="18"/>
    <x v="18"/>
    <n v="37"/>
    <n v="40"/>
    <n v="77"/>
    <n v="-3"/>
    <s v="Pass"/>
    <n v="1"/>
    <n v="8"/>
    <n v="3"/>
    <n v="1"/>
  </r>
  <r>
    <s v="Aeronautical Engineering"/>
    <s v="24BAE059"/>
    <s v="THOUFIQ S "/>
    <n v="1"/>
    <x v="19"/>
    <x v="19"/>
    <n v="37"/>
    <n v="37"/>
    <n v="74"/>
    <n v="0"/>
    <s v="Pass"/>
    <n v="1"/>
    <n v="8"/>
    <n v="4"/>
    <n v="1"/>
  </r>
  <r>
    <s v="Aeronautical Engineering"/>
    <s v="24BAE060"/>
    <s v="UMMAL FAZIRIYA Y "/>
    <n v="2"/>
    <x v="0"/>
    <x v="0"/>
    <n v="47"/>
    <n v="34"/>
    <n v="81"/>
    <n v="13"/>
    <s v="Pass"/>
    <n v="1"/>
    <n v="8"/>
    <n v="4"/>
    <n v="1"/>
  </r>
  <r>
    <s v="Aeronautical Engineering"/>
    <s v="24BAE060"/>
    <s v="UMMAL FAZIRIYA Y "/>
    <n v="2"/>
    <x v="1"/>
    <x v="1"/>
    <n v="42"/>
    <n v="31"/>
    <n v="73"/>
    <n v="11"/>
    <s v="Pass"/>
    <n v="1"/>
    <n v="7"/>
    <n v="4"/>
    <n v="1"/>
  </r>
  <r>
    <s v="Aeronautical Engineering"/>
    <s v="24BAE060"/>
    <s v="UMMAL FAZIRIYA Y "/>
    <n v="2"/>
    <x v="2"/>
    <x v="2"/>
    <n v="84"/>
    <n v="0"/>
    <n v="84"/>
    <n v="0"/>
    <s v="Pass"/>
    <n v="1"/>
    <n v="9"/>
    <n v="1"/>
    <n v="0"/>
  </r>
  <r>
    <s v="Aeronautical Engineering"/>
    <s v="24BAE060"/>
    <s v="UMMAL FAZIRIYA Y "/>
    <n v="2"/>
    <x v="3"/>
    <x v="3"/>
    <n v="41"/>
    <n v="36"/>
    <n v="77"/>
    <n v="5"/>
    <s v="Pass"/>
    <n v="1"/>
    <n v="8"/>
    <n v="1"/>
    <n v="1"/>
  </r>
  <r>
    <s v="Aeronautical Engineering"/>
    <s v="24BAE060"/>
    <s v="UMMAL FAZIRIYA Y "/>
    <n v="2"/>
    <x v="4"/>
    <x v="4"/>
    <n v="28"/>
    <n v="45"/>
    <n v="73"/>
    <n v="-17"/>
    <s v="Pass"/>
    <n v="1"/>
    <n v="7"/>
    <n v="2"/>
    <n v="1"/>
  </r>
  <r>
    <s v="Aeronautical Engineering"/>
    <s v="24BAE060"/>
    <s v="UMMAL FAZIRIYA Y "/>
    <n v="2"/>
    <x v="28"/>
    <x v="28"/>
    <n v="80"/>
    <n v="0"/>
    <n v="80"/>
    <n v="0"/>
    <s v="Pass"/>
    <n v="1"/>
    <n v="8"/>
    <n v="1"/>
    <n v="0"/>
  </r>
  <r>
    <s v="Aeronautical Engineering"/>
    <s v="24BAE060"/>
    <s v="UMMAL FAZIRIYA Y "/>
    <n v="2"/>
    <x v="6"/>
    <x v="6"/>
    <n v="92"/>
    <n v="0"/>
    <n v="92"/>
    <n v="0"/>
    <s v="Pass"/>
    <n v="1"/>
    <n v="10"/>
    <n v="1"/>
    <n v="0"/>
  </r>
  <r>
    <s v="Aeronautical Engineering"/>
    <s v="24BAE060"/>
    <s v="UMMAL FAZIRIYA Y "/>
    <n v="2"/>
    <x v="7"/>
    <x v="7"/>
    <n v="44"/>
    <n v="33"/>
    <n v="77"/>
    <n v="11"/>
    <s v="Pass"/>
    <n v="1"/>
    <n v="8"/>
    <n v="4"/>
    <n v="1"/>
  </r>
  <r>
    <s v="Aeronautical Engineering"/>
    <s v="24BAE060"/>
    <s v="UMMAL FAZIRIYA Y "/>
    <n v="2"/>
    <x v="8"/>
    <x v="8"/>
    <n v="21"/>
    <n v="34"/>
    <n v="55"/>
    <n v="-13"/>
    <s v="Pass"/>
    <n v="1"/>
    <n v="5"/>
    <n v="3"/>
    <n v="1"/>
  </r>
  <r>
    <s v="Aeronautical Engineering"/>
    <s v="24BAE060"/>
    <s v="UMMAL FAZIRIYA Y "/>
    <n v="2"/>
    <x v="9"/>
    <x v="9"/>
    <n v="33"/>
    <n v="44"/>
    <n v="77"/>
    <n v="-11"/>
    <s v="Pass"/>
    <n v="1"/>
    <n v="8"/>
    <n v="3"/>
    <n v="1"/>
  </r>
  <r>
    <s v="Aeronautical Engineering"/>
    <s v="24BAE060"/>
    <s v="UMMAL FAZIRIYA Y "/>
    <n v="1"/>
    <x v="10"/>
    <x v="10"/>
    <n v="94"/>
    <n v="0"/>
    <n v="94"/>
    <n v="0"/>
    <s v="Pass"/>
    <n v="1"/>
    <n v="10"/>
    <n v="1"/>
    <n v="0"/>
  </r>
  <r>
    <s v="Aeronautical Engineering"/>
    <s v="24BAE060"/>
    <s v="UMMAL FAZIRIYA Y "/>
    <n v="1"/>
    <x v="11"/>
    <x v="11"/>
    <n v="21"/>
    <n v="33"/>
    <n v="54"/>
    <n v="-12"/>
    <s v="Pass"/>
    <n v="1"/>
    <n v="7"/>
    <n v="3"/>
    <n v="1"/>
  </r>
  <r>
    <s v="Aeronautical Engineering"/>
    <s v="24BAE060"/>
    <s v="UMMAL FAZIRIYA Y "/>
    <n v="1"/>
    <x v="12"/>
    <x v="12"/>
    <n v="69"/>
    <n v="0"/>
    <n v="69"/>
    <n v="0"/>
    <s v="Pass"/>
    <n v="1"/>
    <n v="7"/>
    <n v="1"/>
    <n v="0"/>
  </r>
  <r>
    <s v="Aeronautical Engineering"/>
    <s v="24BAE060"/>
    <s v="UMMAL FAZIRIYA Y "/>
    <n v="1"/>
    <x v="13"/>
    <x v="13"/>
    <n v="31"/>
    <n v="44"/>
    <n v="75"/>
    <n v="-13"/>
    <s v="Pass"/>
    <n v="1"/>
    <n v="8"/>
    <n v="1"/>
    <n v="1"/>
  </r>
  <r>
    <s v="Aeronautical Engineering"/>
    <s v="24BAE060"/>
    <s v="UMMAL FAZIRIYA Y "/>
    <n v="1"/>
    <x v="56"/>
    <x v="56"/>
    <n v="72"/>
    <n v="0"/>
    <n v="72"/>
    <n v="0"/>
    <s v="Pass"/>
    <n v="1"/>
    <n v="8"/>
    <n v="1"/>
    <n v="0"/>
  </r>
  <r>
    <s v="Aeronautical Engineering"/>
    <s v="24BAE060"/>
    <s v="UMMAL FAZIRIYA Y "/>
    <n v="1"/>
    <x v="15"/>
    <x v="15"/>
    <n v="90"/>
    <n v="0"/>
    <n v="90"/>
    <n v="0"/>
    <s v="Pass"/>
    <n v="1"/>
    <n v="9"/>
    <n v="1"/>
    <n v="0"/>
  </r>
  <r>
    <s v="Aeronautical Engineering"/>
    <s v="24BAE060"/>
    <s v="UMMAL FAZIRIYA Y "/>
    <n v="1"/>
    <x v="16"/>
    <x v="16"/>
    <n v="86"/>
    <n v="0"/>
    <n v="86"/>
    <n v="0"/>
    <s v="Pass"/>
    <n v="1"/>
    <n v="9"/>
    <n v="1"/>
    <n v="0"/>
  </r>
  <r>
    <s v="Aeronautical Engineering"/>
    <s v="24BAE060"/>
    <s v="UMMAL FAZIRIYA Y "/>
    <n v="1"/>
    <x v="17"/>
    <x v="17"/>
    <n v="40"/>
    <n v="45"/>
    <n v="85"/>
    <n v="-5"/>
    <s v="Pass"/>
    <n v="1"/>
    <n v="8"/>
    <n v="4"/>
    <n v="1"/>
  </r>
  <r>
    <s v="Aeronautical Engineering"/>
    <s v="24BAE060"/>
    <s v="UMMAL FAZIRIYA Y "/>
    <n v="1"/>
    <x v="18"/>
    <x v="18"/>
    <n v="36"/>
    <n v="43"/>
    <n v="79"/>
    <n v="-7"/>
    <s v="Pass"/>
    <n v="1"/>
    <n v="8"/>
    <n v="3"/>
    <n v="1"/>
  </r>
  <r>
    <s v="Aeronautical Engineering"/>
    <s v="24BAE060"/>
    <s v="UMMAL FAZIRIYA Y "/>
    <n v="1"/>
    <x v="19"/>
    <x v="19"/>
    <n v="40"/>
    <n v="44"/>
    <n v="84"/>
    <n v="-4"/>
    <s v="Pass"/>
    <n v="1"/>
    <n v="9"/>
    <n v="4"/>
    <n v="1"/>
  </r>
  <r>
    <s v="Aeronautical Engineering"/>
    <s v="24BAE061"/>
    <s v="VAIRAVEL S "/>
    <n v="2"/>
    <x v="0"/>
    <x v="0"/>
    <n v="40"/>
    <n v="23"/>
    <n v="63"/>
    <n v="17"/>
    <s v="Pass"/>
    <n v="1"/>
    <n v="7"/>
    <n v="4"/>
    <n v="1"/>
  </r>
  <r>
    <s v="Aeronautical Engineering"/>
    <s v="24BAE061"/>
    <s v="VAIRAVEL S "/>
    <n v="2"/>
    <x v="1"/>
    <x v="1"/>
    <n v="35"/>
    <n v="26"/>
    <n v="61"/>
    <n v="9"/>
    <s v="Pass"/>
    <n v="1"/>
    <n v="6"/>
    <n v="4"/>
    <n v="1"/>
  </r>
  <r>
    <s v="Aeronautical Engineering"/>
    <s v="24BAE061"/>
    <s v="VAIRAVEL S "/>
    <n v="2"/>
    <x v="11"/>
    <x v="11"/>
    <n v="23"/>
    <n v="34"/>
    <n v="57"/>
    <n v="-11"/>
    <s v="Pass"/>
    <n v="1"/>
    <n v="7"/>
    <n v="3"/>
    <n v="1"/>
  </r>
  <r>
    <s v="Aeronautical Engineering"/>
    <s v="24BAE061"/>
    <s v="VAIRAVEL S "/>
    <n v="2"/>
    <x v="2"/>
    <x v="2"/>
    <n v="86"/>
    <n v="0"/>
    <n v="86"/>
    <n v="0"/>
    <s v="Pass"/>
    <n v="1"/>
    <n v="9"/>
    <n v="1"/>
    <n v="0"/>
  </r>
  <r>
    <s v="Aeronautical Engineering"/>
    <s v="24BAE061"/>
    <s v="VAIRAVEL S "/>
    <n v="2"/>
    <x v="3"/>
    <x v="3"/>
    <n v="34"/>
    <n v="25"/>
    <n v="59"/>
    <n v="9"/>
    <s v="Pass"/>
    <n v="1"/>
    <n v="6"/>
    <n v="1"/>
    <n v="1"/>
  </r>
  <r>
    <s v="Aeronautical Engineering"/>
    <s v="24BAE061"/>
    <s v="VAIRAVEL S "/>
    <n v="2"/>
    <x v="20"/>
    <x v="20"/>
    <n v="24"/>
    <n v="35"/>
    <n v="59"/>
    <n v="-11"/>
    <s v="Pass"/>
    <n v="1"/>
    <n v="6"/>
    <n v="2"/>
    <n v="1"/>
  </r>
  <r>
    <s v="Aeronautical Engineering"/>
    <s v="24BAE061"/>
    <s v="VAIRAVEL S "/>
    <n v="2"/>
    <x v="23"/>
    <x v="23"/>
    <n v="100"/>
    <n v="0"/>
    <n v="100"/>
    <n v="0"/>
    <s v="Pass"/>
    <n v="1"/>
    <n v="10"/>
    <n v="1"/>
    <n v="0"/>
  </r>
  <r>
    <s v="Aeronautical Engineering"/>
    <s v="24BAE061"/>
    <s v="VAIRAVEL S "/>
    <n v="2"/>
    <x v="6"/>
    <x v="6"/>
    <n v="92"/>
    <n v="0"/>
    <n v="92"/>
    <n v="0"/>
    <s v="Pass"/>
    <n v="1"/>
    <n v="10"/>
    <n v="1"/>
    <n v="0"/>
  </r>
  <r>
    <s v="Aeronautical Engineering"/>
    <s v="24BAE061"/>
    <s v="VAIRAVEL S "/>
    <n v="2"/>
    <x v="7"/>
    <x v="7"/>
    <n v="35"/>
    <n v="23"/>
    <n v="58"/>
    <n v="12"/>
    <s v="Pass"/>
    <n v="1"/>
    <n v="7"/>
    <n v="4"/>
    <n v="1"/>
  </r>
  <r>
    <s v="Aeronautical Engineering"/>
    <s v="24BAE061"/>
    <s v="VAIRAVEL S "/>
    <n v="2"/>
    <x v="8"/>
    <x v="8"/>
    <n v="21"/>
    <n v="35"/>
    <n v="56"/>
    <n v="-14"/>
    <s v="Pass"/>
    <n v="1"/>
    <n v="6"/>
    <n v="3"/>
    <n v="1"/>
  </r>
  <r>
    <s v="Aeronautical Engineering"/>
    <s v="24BAE061"/>
    <s v="VAIRAVEL S "/>
    <n v="2"/>
    <x v="9"/>
    <x v="9"/>
    <n v="26"/>
    <n v="34"/>
    <n v="60"/>
    <n v="-8"/>
    <s v="Pass"/>
    <n v="1"/>
    <n v="6"/>
    <n v="3"/>
    <n v="1"/>
  </r>
  <r>
    <s v="Aeronautical Engineering"/>
    <s v="24BAE061"/>
    <s v="VAIRAVEL S "/>
    <n v="1"/>
    <x v="10"/>
    <x v="10"/>
    <n v="90"/>
    <n v="0"/>
    <n v="90"/>
    <n v="0"/>
    <s v="Pass"/>
    <n v="1"/>
    <n v="9"/>
    <n v="1"/>
    <n v="0"/>
  </r>
  <r>
    <s v="Aeronautical Engineering"/>
    <s v="24BAE061"/>
    <s v="VAIRAVEL S "/>
    <n v="1"/>
    <x v="11"/>
    <x v="11"/>
    <n v="23"/>
    <n v="14"/>
    <n v="37"/>
    <n v="9"/>
    <s v="Fail"/>
    <n v="0"/>
    <n v="0"/>
    <n v="3"/>
    <n v="1"/>
  </r>
  <r>
    <s v="Aeronautical Engineering"/>
    <s v="24BAE061"/>
    <s v="VAIRAVEL S "/>
    <n v="1"/>
    <x v="12"/>
    <x v="12"/>
    <n v="86"/>
    <n v="0"/>
    <n v="86"/>
    <n v="0"/>
    <s v="Pass"/>
    <n v="1"/>
    <n v="9"/>
    <n v="1"/>
    <n v="0"/>
  </r>
  <r>
    <s v="Aeronautical Engineering"/>
    <s v="24BAE061"/>
    <s v="VAIRAVEL S "/>
    <n v="1"/>
    <x v="13"/>
    <x v="13"/>
    <n v="25"/>
    <n v="42"/>
    <n v="67"/>
    <n v="-17"/>
    <s v="Pass"/>
    <n v="1"/>
    <n v="7"/>
    <n v="1"/>
    <n v="1"/>
  </r>
  <r>
    <s v="Aeronautical Engineering"/>
    <s v="24BAE061"/>
    <s v="VAIRAVEL S "/>
    <n v="1"/>
    <x v="54"/>
    <x v="54"/>
    <n v="83"/>
    <n v="0"/>
    <n v="83"/>
    <n v="0"/>
    <s v="Pass"/>
    <n v="1"/>
    <n v="9"/>
    <n v="1"/>
    <n v="0"/>
  </r>
  <r>
    <s v="Aeronautical Engineering"/>
    <s v="24BAE061"/>
    <s v="VAIRAVEL S "/>
    <n v="1"/>
    <x v="15"/>
    <x v="15"/>
    <n v="100"/>
    <n v="0"/>
    <n v="100"/>
    <n v="0"/>
    <s v="Pass"/>
    <n v="1"/>
    <n v="10"/>
    <n v="1"/>
    <n v="0"/>
  </r>
  <r>
    <s v="Aeronautical Engineering"/>
    <s v="24BAE061"/>
    <s v="VAIRAVEL S "/>
    <n v="1"/>
    <x v="16"/>
    <x v="16"/>
    <n v="85"/>
    <n v="0"/>
    <n v="85"/>
    <n v="0"/>
    <s v="Pass"/>
    <n v="1"/>
    <n v="9"/>
    <n v="1"/>
    <n v="0"/>
  </r>
  <r>
    <s v="Aeronautical Engineering"/>
    <s v="24BAE061"/>
    <s v="VAIRAVEL S "/>
    <n v="1"/>
    <x v="17"/>
    <x v="17"/>
    <n v="34"/>
    <n v="37"/>
    <n v="71"/>
    <n v="-3"/>
    <s v="Pass"/>
    <n v="1"/>
    <n v="7"/>
    <n v="4"/>
    <n v="1"/>
  </r>
  <r>
    <s v="Aeronautical Engineering"/>
    <s v="24BAE061"/>
    <s v="VAIRAVEL S "/>
    <n v="1"/>
    <x v="18"/>
    <x v="18"/>
    <n v="33"/>
    <n v="30"/>
    <n v="63"/>
    <n v="3"/>
    <s v="Pass"/>
    <n v="1"/>
    <n v="7"/>
    <n v="3"/>
    <n v="1"/>
  </r>
  <r>
    <s v="Aeronautical Engineering"/>
    <s v="24BAE061"/>
    <s v="VAIRAVEL S "/>
    <n v="1"/>
    <x v="19"/>
    <x v="19"/>
    <n v="36"/>
    <n v="38"/>
    <n v="74"/>
    <n v="-2"/>
    <s v="Pass"/>
    <n v="1"/>
    <n v="8"/>
    <n v="4"/>
    <n v="1"/>
  </r>
  <r>
    <s v="Aeronautical Engineering"/>
    <s v="24BAE062"/>
    <s v="VASANTH A J "/>
    <n v="2"/>
    <x v="0"/>
    <x v="0"/>
    <n v="47"/>
    <n v="27"/>
    <n v="74"/>
    <n v="20"/>
    <s v="Pass"/>
    <n v="1"/>
    <n v="8"/>
    <n v="4"/>
    <n v="1"/>
  </r>
  <r>
    <s v="Aeronautical Engineering"/>
    <s v="24BAE062"/>
    <s v="VASANTH A J "/>
    <n v="2"/>
    <x v="1"/>
    <x v="1"/>
    <n v="43"/>
    <n v="33"/>
    <n v="76"/>
    <n v="10"/>
    <s v="Pass"/>
    <n v="1"/>
    <n v="8"/>
    <n v="4"/>
    <n v="1"/>
  </r>
  <r>
    <s v="Aeronautical Engineering"/>
    <s v="24BAE062"/>
    <s v="VASANTH A J "/>
    <n v="2"/>
    <x v="2"/>
    <x v="2"/>
    <n v="79"/>
    <n v="0"/>
    <n v="79"/>
    <n v="0"/>
    <s v="Pass"/>
    <n v="1"/>
    <n v="8"/>
    <n v="1"/>
    <n v="0"/>
  </r>
  <r>
    <s v="Aeronautical Engineering"/>
    <s v="24BAE062"/>
    <s v="VASANTH A J "/>
    <n v="2"/>
    <x v="3"/>
    <x v="3"/>
    <n v="38"/>
    <n v="35"/>
    <n v="73"/>
    <n v="3"/>
    <s v="Pass"/>
    <n v="1"/>
    <n v="7"/>
    <n v="1"/>
    <n v="1"/>
  </r>
  <r>
    <s v="Aeronautical Engineering"/>
    <s v="24BAE062"/>
    <s v="VASANTH A J "/>
    <n v="2"/>
    <x v="4"/>
    <x v="4"/>
    <n v="30"/>
    <n v="43"/>
    <n v="73"/>
    <n v="-13"/>
    <s v="Pass"/>
    <n v="1"/>
    <n v="7"/>
    <n v="2"/>
    <n v="1"/>
  </r>
  <r>
    <s v="Aeronautical Engineering"/>
    <s v="24BAE062"/>
    <s v="VASANTH A J "/>
    <n v="2"/>
    <x v="32"/>
    <x v="32"/>
    <n v="92"/>
    <n v="0"/>
    <n v="92"/>
    <n v="0"/>
    <s v="Pass"/>
    <n v="1"/>
    <n v="10"/>
    <n v="1"/>
    <n v="0"/>
  </r>
  <r>
    <s v="Aeronautical Engineering"/>
    <s v="24BAE062"/>
    <s v="VASANTH A J "/>
    <n v="2"/>
    <x v="6"/>
    <x v="6"/>
    <n v="92"/>
    <n v="0"/>
    <n v="92"/>
    <n v="0"/>
    <s v="Pass"/>
    <n v="1"/>
    <n v="10"/>
    <n v="1"/>
    <n v="0"/>
  </r>
  <r>
    <s v="Aeronautical Engineering"/>
    <s v="24BAE062"/>
    <s v="VASANTH A J "/>
    <n v="2"/>
    <x v="7"/>
    <x v="7"/>
    <n v="42"/>
    <n v="33"/>
    <n v="75"/>
    <n v="9"/>
    <s v="Pass"/>
    <n v="1"/>
    <n v="8"/>
    <n v="4"/>
    <n v="1"/>
  </r>
  <r>
    <s v="Aeronautical Engineering"/>
    <s v="24BAE062"/>
    <s v="VASANTH A J "/>
    <n v="2"/>
    <x v="8"/>
    <x v="8"/>
    <n v="30"/>
    <n v="30"/>
    <n v="60"/>
    <n v="0"/>
    <s v="Pass"/>
    <n v="1"/>
    <n v="6"/>
    <n v="3"/>
    <n v="1"/>
  </r>
  <r>
    <s v="Aeronautical Engineering"/>
    <s v="24BAE062"/>
    <s v="VASANTH A J "/>
    <n v="2"/>
    <x v="9"/>
    <x v="9"/>
    <n v="38"/>
    <n v="41"/>
    <n v="79"/>
    <n v="-3"/>
    <s v="Pass"/>
    <n v="1"/>
    <n v="8"/>
    <n v="3"/>
    <n v="1"/>
  </r>
  <r>
    <s v="Aeronautical Engineering"/>
    <s v="24BAE062"/>
    <s v="VASANTH A J "/>
    <n v="1"/>
    <x v="10"/>
    <x v="10"/>
    <n v="92"/>
    <n v="0"/>
    <n v="92"/>
    <n v="0"/>
    <s v="Pass"/>
    <n v="1"/>
    <n v="10"/>
    <n v="1"/>
    <n v="0"/>
  </r>
  <r>
    <s v="Aeronautical Engineering"/>
    <s v="24BAE062"/>
    <s v="VASANTH A J "/>
    <n v="1"/>
    <x v="11"/>
    <x v="11"/>
    <n v="29"/>
    <n v="31"/>
    <n v="60"/>
    <n v="-2"/>
    <s v="Pass"/>
    <n v="1"/>
    <n v="8"/>
    <n v="3"/>
    <n v="1"/>
  </r>
  <r>
    <s v="Aeronautical Engineering"/>
    <s v="24BAE062"/>
    <s v="VASANTH A J "/>
    <n v="1"/>
    <x v="12"/>
    <x v="12"/>
    <n v="64"/>
    <n v="0"/>
    <n v="64"/>
    <n v="0"/>
    <s v="Pass"/>
    <n v="1"/>
    <n v="7"/>
    <n v="1"/>
    <n v="0"/>
  </r>
  <r>
    <s v="Aeronautical Engineering"/>
    <s v="24BAE062"/>
    <s v="VASANTH A J "/>
    <n v="1"/>
    <x v="13"/>
    <x v="13"/>
    <n v="33"/>
    <n v="47"/>
    <n v="80"/>
    <n v="-14"/>
    <s v="Pass"/>
    <n v="1"/>
    <n v="8"/>
    <n v="1"/>
    <n v="1"/>
  </r>
  <r>
    <s v="Aeronautical Engineering"/>
    <s v="24BAE062"/>
    <s v="VASANTH A J "/>
    <n v="1"/>
    <x v="24"/>
    <x v="24"/>
    <n v="97"/>
    <n v="0"/>
    <n v="97"/>
    <n v="0"/>
    <s v="Pass"/>
    <n v="1"/>
    <n v="10"/>
    <n v="1"/>
    <n v="0"/>
  </r>
  <r>
    <s v="Aeronautical Engineering"/>
    <s v="24BAE062"/>
    <s v="VASANTH A J "/>
    <n v="1"/>
    <x v="15"/>
    <x v="15"/>
    <n v="95"/>
    <n v="0"/>
    <n v="95"/>
    <n v="0"/>
    <s v="Pass"/>
    <n v="1"/>
    <n v="10"/>
    <n v="1"/>
    <n v="0"/>
  </r>
  <r>
    <s v="Aeronautical Engineering"/>
    <s v="24BAE062"/>
    <s v="VASANTH A J "/>
    <n v="1"/>
    <x v="16"/>
    <x v="16"/>
    <n v="87"/>
    <n v="0"/>
    <n v="87"/>
    <n v="0"/>
    <s v="Pass"/>
    <n v="1"/>
    <n v="9"/>
    <n v="1"/>
    <n v="0"/>
  </r>
  <r>
    <s v="Aeronautical Engineering"/>
    <s v="24BAE062"/>
    <s v="VASANTH A J "/>
    <n v="1"/>
    <x v="17"/>
    <x v="17"/>
    <n v="43"/>
    <n v="36"/>
    <n v="79"/>
    <n v="7"/>
    <s v="Pass"/>
    <n v="1"/>
    <n v="8"/>
    <n v="4"/>
    <n v="1"/>
  </r>
  <r>
    <s v="Aeronautical Engineering"/>
    <s v="24BAE062"/>
    <s v="VASANTH A J "/>
    <n v="1"/>
    <x v="18"/>
    <x v="18"/>
    <n v="37"/>
    <n v="37"/>
    <n v="74"/>
    <n v="0"/>
    <s v="Pass"/>
    <n v="1"/>
    <n v="8"/>
    <n v="3"/>
    <n v="1"/>
  </r>
  <r>
    <s v="Aeronautical Engineering"/>
    <s v="24BAE062"/>
    <s v="VASANTH A J "/>
    <n v="1"/>
    <x v="19"/>
    <x v="19"/>
    <n v="45"/>
    <n v="44"/>
    <n v="89"/>
    <n v="1"/>
    <s v="Pass"/>
    <n v="1"/>
    <n v="10"/>
    <n v="4"/>
    <n v="1"/>
  </r>
  <r>
    <s v="Aeronautical Engineering"/>
    <s v="24BAE063"/>
    <s v="VIGNESH T "/>
    <n v="2"/>
    <x v="0"/>
    <x v="0"/>
    <n v="46"/>
    <n v="34"/>
    <n v="80"/>
    <n v="12"/>
    <s v="Pass"/>
    <n v="1"/>
    <n v="8"/>
    <n v="4"/>
    <n v="1"/>
  </r>
  <r>
    <s v="Aeronautical Engineering"/>
    <s v="24BAE063"/>
    <s v="VIGNESH T "/>
    <n v="2"/>
    <x v="1"/>
    <x v="1"/>
    <n v="40"/>
    <n v="29"/>
    <n v="69"/>
    <n v="11"/>
    <s v="Pass"/>
    <n v="1"/>
    <n v="7"/>
    <n v="4"/>
    <n v="1"/>
  </r>
  <r>
    <s v="Aeronautical Engineering"/>
    <s v="24BAE063"/>
    <s v="VIGNESH T "/>
    <n v="2"/>
    <x v="2"/>
    <x v="2"/>
    <n v="81"/>
    <n v="0"/>
    <n v="81"/>
    <n v="0"/>
    <s v="Pass"/>
    <n v="1"/>
    <n v="9"/>
    <n v="1"/>
    <n v="0"/>
  </r>
  <r>
    <s v="Aeronautical Engineering"/>
    <s v="24BAE063"/>
    <s v="VIGNESH T "/>
    <n v="2"/>
    <x v="3"/>
    <x v="3"/>
    <n v="36"/>
    <n v="30"/>
    <n v="66"/>
    <n v="6"/>
    <s v="Pass"/>
    <n v="1"/>
    <n v="7"/>
    <n v="1"/>
    <n v="1"/>
  </r>
  <r>
    <s v="Aeronautical Engineering"/>
    <s v="24BAE063"/>
    <s v="VIGNESH T "/>
    <n v="2"/>
    <x v="4"/>
    <x v="4"/>
    <n v="30"/>
    <n v="42"/>
    <n v="72"/>
    <n v="-12"/>
    <s v="Pass"/>
    <n v="1"/>
    <n v="7"/>
    <n v="2"/>
    <n v="1"/>
  </r>
  <r>
    <s v="Aeronautical Engineering"/>
    <s v="24BAE063"/>
    <s v="VIGNESH T "/>
    <n v="2"/>
    <x v="31"/>
    <x v="31"/>
    <n v="79"/>
    <n v="0"/>
    <n v="79"/>
    <n v="0"/>
    <s v="Pass"/>
    <n v="1"/>
    <n v="8"/>
    <n v="1"/>
    <n v="0"/>
  </r>
  <r>
    <s v="Aeronautical Engineering"/>
    <s v="24BAE063"/>
    <s v="VIGNESH T "/>
    <n v="2"/>
    <x v="6"/>
    <x v="6"/>
    <n v="92"/>
    <n v="0"/>
    <n v="92"/>
    <n v="0"/>
    <s v="Pass"/>
    <n v="1"/>
    <n v="10"/>
    <n v="1"/>
    <n v="0"/>
  </r>
  <r>
    <s v="Aeronautical Engineering"/>
    <s v="24BAE063"/>
    <s v="VIGNESH T "/>
    <n v="2"/>
    <x v="7"/>
    <x v="7"/>
    <n v="38"/>
    <n v="27"/>
    <n v="65"/>
    <n v="11"/>
    <s v="Pass"/>
    <n v="1"/>
    <n v="7"/>
    <n v="4"/>
    <n v="1"/>
  </r>
  <r>
    <s v="Aeronautical Engineering"/>
    <s v="24BAE063"/>
    <s v="VIGNESH T "/>
    <n v="2"/>
    <x v="8"/>
    <x v="8"/>
    <n v="27"/>
    <n v="30"/>
    <n v="57"/>
    <n v="-3"/>
    <s v="Pass"/>
    <n v="1"/>
    <n v="6"/>
    <n v="3"/>
    <n v="1"/>
  </r>
  <r>
    <s v="Aeronautical Engineering"/>
    <s v="24BAE063"/>
    <s v="VIGNESH T "/>
    <n v="2"/>
    <x v="9"/>
    <x v="9"/>
    <n v="29"/>
    <n v="30"/>
    <n v="59"/>
    <n v="-1"/>
    <s v="Pass"/>
    <n v="1"/>
    <n v="6"/>
    <n v="3"/>
    <n v="1"/>
  </r>
  <r>
    <s v="Aeronautical Engineering"/>
    <s v="24BAE063"/>
    <s v="VIGNESH T "/>
    <n v="1"/>
    <x v="10"/>
    <x v="10"/>
    <n v="91"/>
    <n v="0"/>
    <n v="91"/>
    <n v="0"/>
    <s v="Pass"/>
    <n v="1"/>
    <n v="10"/>
    <n v="1"/>
    <n v="0"/>
  </r>
  <r>
    <s v="Aeronautical Engineering"/>
    <s v="24BAE063"/>
    <s v="VIGNESH T "/>
    <n v="1"/>
    <x v="11"/>
    <x v="11"/>
    <n v="25"/>
    <n v="33"/>
    <n v="58"/>
    <n v="-8"/>
    <s v="Pass"/>
    <n v="1"/>
    <n v="8"/>
    <n v="3"/>
    <n v="1"/>
  </r>
  <r>
    <s v="Aeronautical Engineering"/>
    <s v="24BAE063"/>
    <s v="VIGNESH T "/>
    <n v="1"/>
    <x v="12"/>
    <x v="12"/>
    <n v="50"/>
    <n v="0"/>
    <n v="50"/>
    <n v="0"/>
    <s v="Pass"/>
    <n v="1"/>
    <n v="5"/>
    <n v="1"/>
    <n v="0"/>
  </r>
  <r>
    <s v="Aeronautical Engineering"/>
    <s v="24BAE063"/>
    <s v="VIGNESH T "/>
    <n v="1"/>
    <x v="13"/>
    <x v="13"/>
    <n v="26"/>
    <n v="37"/>
    <n v="63"/>
    <n v="-11"/>
    <s v="Pass"/>
    <n v="1"/>
    <n v="7"/>
    <n v="1"/>
    <n v="1"/>
  </r>
  <r>
    <s v="Aeronautical Engineering"/>
    <s v="24BAE063"/>
    <s v="VIGNESH T "/>
    <n v="1"/>
    <x v="55"/>
    <x v="55"/>
    <n v="63"/>
    <n v="0"/>
    <n v="63"/>
    <n v="0"/>
    <s v="Pass"/>
    <n v="1"/>
    <n v="7"/>
    <n v="1"/>
    <n v="0"/>
  </r>
  <r>
    <s v="Aeronautical Engineering"/>
    <s v="24BAE063"/>
    <s v="VIGNESH T "/>
    <n v="1"/>
    <x v="15"/>
    <x v="15"/>
    <n v="100"/>
    <n v="0"/>
    <n v="100"/>
    <n v="0"/>
    <s v="Pass"/>
    <n v="1"/>
    <n v="10"/>
    <n v="1"/>
    <n v="0"/>
  </r>
  <r>
    <s v="Aeronautical Engineering"/>
    <s v="24BAE063"/>
    <s v="VIGNESH T "/>
    <n v="1"/>
    <x v="16"/>
    <x v="16"/>
    <n v="88"/>
    <n v="0"/>
    <n v="88"/>
    <n v="0"/>
    <s v="Pass"/>
    <n v="1"/>
    <n v="9"/>
    <n v="1"/>
    <n v="0"/>
  </r>
  <r>
    <s v="Aeronautical Engineering"/>
    <s v="24BAE063"/>
    <s v="VIGNESH T "/>
    <n v="1"/>
    <x v="17"/>
    <x v="17"/>
    <n v="41"/>
    <n v="32"/>
    <n v="73"/>
    <n v="9"/>
    <s v="Pass"/>
    <n v="1"/>
    <n v="7"/>
    <n v="4"/>
    <n v="1"/>
  </r>
  <r>
    <s v="Aeronautical Engineering"/>
    <s v="24BAE063"/>
    <s v="VIGNESH T "/>
    <n v="1"/>
    <x v="18"/>
    <x v="18"/>
    <n v="36"/>
    <n v="34"/>
    <n v="70"/>
    <n v="2"/>
    <s v="Pass"/>
    <n v="1"/>
    <n v="7"/>
    <n v="3"/>
    <n v="1"/>
  </r>
  <r>
    <s v="Aeronautical Engineering"/>
    <s v="24BAE063"/>
    <s v="VIGNESH T "/>
    <n v="1"/>
    <x v="19"/>
    <x v="19"/>
    <n v="36"/>
    <n v="30"/>
    <n v="66"/>
    <n v="6"/>
    <s v="Pass"/>
    <n v="1"/>
    <n v="7"/>
    <n v="4"/>
    <n v="1"/>
  </r>
  <r>
    <s v="Aeronautical Engineering"/>
    <s v="24BAE064"/>
    <s v="VISHVA  C "/>
    <n v="2"/>
    <x v="0"/>
    <x v="0"/>
    <n v="43"/>
    <n v="25"/>
    <n v="68"/>
    <n v="18"/>
    <s v="Pass"/>
    <n v="1"/>
    <n v="7"/>
    <n v="4"/>
    <n v="1"/>
  </r>
  <r>
    <s v="Aeronautical Engineering"/>
    <s v="24BAE064"/>
    <s v="VISHVA  C "/>
    <n v="2"/>
    <x v="1"/>
    <x v="1"/>
    <n v="40"/>
    <n v="27"/>
    <n v="67"/>
    <n v="13"/>
    <s v="Pass"/>
    <n v="1"/>
    <n v="7"/>
    <n v="4"/>
    <n v="1"/>
  </r>
  <r>
    <s v="Aeronautical Engineering"/>
    <s v="24BAE064"/>
    <s v="VISHVA  C "/>
    <n v="2"/>
    <x v="2"/>
    <x v="2"/>
    <n v="84"/>
    <n v="0"/>
    <n v="84"/>
    <n v="0"/>
    <s v="Pass"/>
    <n v="1"/>
    <n v="9"/>
    <n v="1"/>
    <n v="0"/>
  </r>
  <r>
    <s v="Aeronautical Engineering"/>
    <s v="24BAE064"/>
    <s v="VISHVA  C "/>
    <n v="2"/>
    <x v="3"/>
    <x v="3"/>
    <n v="33"/>
    <n v="31"/>
    <n v="64"/>
    <n v="2"/>
    <s v="Pass"/>
    <n v="1"/>
    <n v="7"/>
    <n v="1"/>
    <n v="1"/>
  </r>
  <r>
    <s v="Aeronautical Engineering"/>
    <s v="24BAE064"/>
    <s v="VISHVA  C "/>
    <n v="2"/>
    <x v="4"/>
    <x v="4"/>
    <n v="26"/>
    <n v="31"/>
    <n v="57"/>
    <n v="-5"/>
    <s v="Pass"/>
    <n v="1"/>
    <n v="6"/>
    <n v="2"/>
    <n v="1"/>
  </r>
  <r>
    <s v="Aeronautical Engineering"/>
    <s v="24BAE064"/>
    <s v="VISHVA  C "/>
    <n v="2"/>
    <x v="52"/>
    <x v="52"/>
    <n v="82"/>
    <n v="0"/>
    <n v="82"/>
    <n v="0"/>
    <s v="Pass"/>
    <n v="1"/>
    <n v="9"/>
    <n v="1"/>
    <n v="0"/>
  </r>
  <r>
    <s v="Aeronautical Engineering"/>
    <s v="24BAE064"/>
    <s v="VISHVA  C "/>
    <n v="2"/>
    <x v="6"/>
    <x v="6"/>
    <n v="92"/>
    <n v="0"/>
    <n v="92"/>
    <n v="0"/>
    <s v="Pass"/>
    <n v="1"/>
    <n v="10"/>
    <n v="1"/>
    <n v="0"/>
  </r>
  <r>
    <s v="Aeronautical Engineering"/>
    <s v="24BAE064"/>
    <s v="VISHVA  C "/>
    <n v="2"/>
    <x v="7"/>
    <x v="7"/>
    <n v="35"/>
    <n v="23"/>
    <n v="58"/>
    <n v="12"/>
    <s v="Pass"/>
    <n v="1"/>
    <n v="7"/>
    <n v="4"/>
    <n v="1"/>
  </r>
  <r>
    <s v="Aeronautical Engineering"/>
    <s v="24BAE064"/>
    <s v="VISHVA  C "/>
    <n v="2"/>
    <x v="8"/>
    <x v="8"/>
    <n v="29"/>
    <n v="34"/>
    <n v="63"/>
    <n v="-5"/>
    <s v="Pass"/>
    <n v="1"/>
    <n v="6"/>
    <n v="3"/>
    <n v="1"/>
  </r>
  <r>
    <s v="Aeronautical Engineering"/>
    <s v="24BAE064"/>
    <s v="VISHVA  C "/>
    <n v="2"/>
    <x v="9"/>
    <x v="9"/>
    <n v="30"/>
    <n v="37"/>
    <n v="67"/>
    <n v="-7"/>
    <s v="Pass"/>
    <n v="1"/>
    <n v="7"/>
    <n v="3"/>
    <n v="1"/>
  </r>
  <r>
    <s v="Aeronautical Engineering"/>
    <s v="24BAE064"/>
    <s v="VISHVA  C "/>
    <n v="1"/>
    <x v="10"/>
    <x v="10"/>
    <n v="94"/>
    <n v="0"/>
    <n v="94"/>
    <n v="0"/>
    <s v="Pass"/>
    <n v="1"/>
    <n v="10"/>
    <n v="1"/>
    <n v="0"/>
  </r>
  <r>
    <s v="Aeronautical Engineering"/>
    <s v="24BAE064"/>
    <s v="VISHVA  C "/>
    <n v="1"/>
    <x v="11"/>
    <x v="11"/>
    <n v="20"/>
    <n v="30"/>
    <n v="50"/>
    <n v="-10"/>
    <s v="Pass"/>
    <n v="1"/>
    <n v="5"/>
    <n v="3"/>
    <n v="1"/>
  </r>
  <r>
    <s v="Aeronautical Engineering"/>
    <s v="24BAE064"/>
    <s v="VISHVA  C "/>
    <n v="1"/>
    <x v="12"/>
    <x v="12"/>
    <n v="87"/>
    <n v="0"/>
    <n v="87"/>
    <n v="0"/>
    <s v="Pass"/>
    <n v="1"/>
    <n v="9"/>
    <n v="1"/>
    <n v="0"/>
  </r>
  <r>
    <s v="Aeronautical Engineering"/>
    <s v="24BAE064"/>
    <s v="VISHVA  C "/>
    <n v="1"/>
    <x v="13"/>
    <x v="13"/>
    <n v="30"/>
    <n v="38"/>
    <n v="68"/>
    <n v="-8"/>
    <s v="Pass"/>
    <n v="1"/>
    <n v="7"/>
    <n v="1"/>
    <n v="1"/>
  </r>
  <r>
    <s v="Aeronautical Engineering"/>
    <s v="24BAE064"/>
    <s v="VISHVA  C "/>
    <n v="1"/>
    <x v="57"/>
    <x v="57"/>
    <n v="75"/>
    <n v="0"/>
    <n v="75"/>
    <n v="0"/>
    <s v="Pass"/>
    <n v="1"/>
    <n v="8"/>
    <n v="1"/>
    <n v="0"/>
  </r>
  <r>
    <s v="Aeronautical Engineering"/>
    <s v="24BAE064"/>
    <s v="VISHVA  C "/>
    <n v="1"/>
    <x v="15"/>
    <x v="15"/>
    <n v="80"/>
    <n v="0"/>
    <n v="80"/>
    <n v="0"/>
    <s v="Pass"/>
    <n v="1"/>
    <n v="8"/>
    <n v="1"/>
    <n v="0"/>
  </r>
  <r>
    <s v="Aeronautical Engineering"/>
    <s v="24BAE064"/>
    <s v="VISHVA  C "/>
    <n v="1"/>
    <x v="16"/>
    <x v="16"/>
    <n v="82"/>
    <n v="0"/>
    <n v="82"/>
    <n v="0"/>
    <s v="Pass"/>
    <n v="1"/>
    <n v="9"/>
    <n v="1"/>
    <n v="0"/>
  </r>
  <r>
    <s v="Aeronautical Engineering"/>
    <s v="24BAE064"/>
    <s v="VISHVA  C "/>
    <n v="1"/>
    <x v="17"/>
    <x v="17"/>
    <n v="39"/>
    <n v="26"/>
    <n v="65"/>
    <n v="13"/>
    <s v="Pass"/>
    <n v="1"/>
    <n v="7"/>
    <n v="4"/>
    <n v="1"/>
  </r>
  <r>
    <s v="Aeronautical Engineering"/>
    <s v="24BAE064"/>
    <s v="VISHVA  C "/>
    <n v="1"/>
    <x v="18"/>
    <x v="18"/>
    <n v="35"/>
    <n v="30"/>
    <n v="65"/>
    <n v="5"/>
    <s v="Pass"/>
    <n v="1"/>
    <n v="7"/>
    <n v="3"/>
    <n v="1"/>
  </r>
  <r>
    <s v="Aeronautical Engineering"/>
    <s v="24BAE064"/>
    <s v="VISHVA  C "/>
    <n v="1"/>
    <x v="19"/>
    <x v="19"/>
    <n v="38"/>
    <n v="41"/>
    <n v="79"/>
    <n v="-3"/>
    <s v="Pass"/>
    <n v="1"/>
    <n v="8"/>
    <n v="4"/>
    <n v="1"/>
  </r>
  <r>
    <s v="Aeronautical Engineering"/>
    <s v="24BAE065"/>
    <s v="YASHITHA V "/>
    <n v="2"/>
    <x v="0"/>
    <x v="0"/>
    <n v="46"/>
    <n v="34"/>
    <n v="80"/>
    <n v="12"/>
    <s v="Pass"/>
    <n v="1"/>
    <n v="8"/>
    <n v="4"/>
    <n v="1"/>
  </r>
  <r>
    <s v="Aeronautical Engineering"/>
    <s v="24BAE065"/>
    <s v="YASHITHA V "/>
    <n v="2"/>
    <x v="1"/>
    <x v="1"/>
    <n v="42"/>
    <n v="35"/>
    <n v="77"/>
    <n v="7"/>
    <s v="Pass"/>
    <n v="1"/>
    <n v="8"/>
    <n v="4"/>
    <n v="1"/>
  </r>
  <r>
    <s v="Aeronautical Engineering"/>
    <s v="24BAE065"/>
    <s v="YASHITHA V "/>
    <n v="2"/>
    <x v="2"/>
    <x v="2"/>
    <n v="85"/>
    <n v="0"/>
    <n v="85"/>
    <n v="0"/>
    <s v="Pass"/>
    <n v="1"/>
    <n v="9"/>
    <n v="1"/>
    <n v="0"/>
  </r>
  <r>
    <s v="Aeronautical Engineering"/>
    <s v="24BAE065"/>
    <s v="YASHITHA V "/>
    <n v="2"/>
    <x v="3"/>
    <x v="3"/>
    <n v="36"/>
    <n v="31"/>
    <n v="67"/>
    <n v="5"/>
    <s v="Pass"/>
    <n v="1"/>
    <n v="7"/>
    <n v="1"/>
    <n v="1"/>
  </r>
  <r>
    <s v="Aeronautical Engineering"/>
    <s v="24BAE065"/>
    <s v="YASHITHA V "/>
    <n v="2"/>
    <x v="4"/>
    <x v="4"/>
    <n v="33"/>
    <n v="33"/>
    <n v="66"/>
    <n v="0"/>
    <s v="Pass"/>
    <n v="1"/>
    <n v="7"/>
    <n v="2"/>
    <n v="1"/>
  </r>
  <r>
    <s v="Aeronautical Engineering"/>
    <s v="24BAE065"/>
    <s v="YASHITHA V "/>
    <n v="2"/>
    <x v="47"/>
    <x v="47"/>
    <n v="87"/>
    <n v="0"/>
    <n v="87"/>
    <n v="0"/>
    <s v="Pass"/>
    <n v="1"/>
    <n v="9"/>
    <n v="1"/>
    <n v="0"/>
  </r>
  <r>
    <s v="Aeronautical Engineering"/>
    <s v="24BAE065"/>
    <s v="YASHITHA V "/>
    <n v="2"/>
    <x v="6"/>
    <x v="6"/>
    <n v="92"/>
    <n v="0"/>
    <n v="92"/>
    <n v="0"/>
    <s v="Pass"/>
    <n v="1"/>
    <n v="10"/>
    <n v="1"/>
    <n v="0"/>
  </r>
  <r>
    <s v="Aeronautical Engineering"/>
    <s v="24BAE065"/>
    <s v="YASHITHA V "/>
    <n v="2"/>
    <x v="7"/>
    <x v="7"/>
    <n v="47"/>
    <n v="37"/>
    <n v="84"/>
    <n v="10"/>
    <s v="Pass"/>
    <n v="1"/>
    <n v="8"/>
    <n v="4"/>
    <n v="1"/>
  </r>
  <r>
    <s v="Aeronautical Engineering"/>
    <s v="24BAE065"/>
    <s v="YASHITHA V "/>
    <n v="2"/>
    <x v="8"/>
    <x v="8"/>
    <n v="26"/>
    <n v="48"/>
    <n v="74"/>
    <n v="-22"/>
    <s v="Pass"/>
    <n v="1"/>
    <n v="8"/>
    <n v="3"/>
    <n v="1"/>
  </r>
  <r>
    <s v="Aeronautical Engineering"/>
    <s v="24BAE065"/>
    <s v="YASHITHA V "/>
    <n v="2"/>
    <x v="9"/>
    <x v="9"/>
    <n v="34"/>
    <n v="50"/>
    <n v="84"/>
    <n v="-16"/>
    <s v="Pass"/>
    <n v="1"/>
    <n v="8"/>
    <n v="3"/>
    <n v="1"/>
  </r>
  <r>
    <s v="Aeronautical Engineering"/>
    <s v="24BAE065"/>
    <s v="YASHITHA V "/>
    <n v="1"/>
    <x v="10"/>
    <x v="10"/>
    <n v="89"/>
    <n v="0"/>
    <n v="89"/>
    <n v="0"/>
    <s v="Pass"/>
    <n v="1"/>
    <n v="9"/>
    <n v="1"/>
    <n v="0"/>
  </r>
  <r>
    <s v="Aeronautical Engineering"/>
    <s v="24BAE065"/>
    <s v="YASHITHA V "/>
    <n v="1"/>
    <x v="11"/>
    <x v="11"/>
    <n v="26"/>
    <n v="30"/>
    <n v="56"/>
    <n v="-4"/>
    <s v="Pass"/>
    <n v="1"/>
    <n v="7"/>
    <n v="3"/>
    <n v="1"/>
  </r>
  <r>
    <s v="Aeronautical Engineering"/>
    <s v="24BAE065"/>
    <s v="YASHITHA V "/>
    <n v="1"/>
    <x v="12"/>
    <x v="12"/>
    <n v="64"/>
    <n v="0"/>
    <n v="64"/>
    <n v="0"/>
    <s v="Pass"/>
    <n v="1"/>
    <n v="7"/>
    <n v="1"/>
    <n v="0"/>
  </r>
  <r>
    <s v="Aeronautical Engineering"/>
    <s v="24BAE065"/>
    <s v="YASHITHA V "/>
    <n v="1"/>
    <x v="13"/>
    <x v="13"/>
    <n v="26"/>
    <n v="42"/>
    <n v="68"/>
    <n v="-16"/>
    <s v="Pass"/>
    <n v="1"/>
    <n v="7"/>
    <n v="1"/>
    <n v="1"/>
  </r>
  <r>
    <s v="Aeronautical Engineering"/>
    <s v="24BAE065"/>
    <s v="YASHITHA V "/>
    <n v="1"/>
    <x v="58"/>
    <x v="58"/>
    <n v="90"/>
    <n v="0"/>
    <n v="90"/>
    <n v="0"/>
    <s v="Pass"/>
    <n v="1"/>
    <n v="9"/>
    <n v="1"/>
    <n v="0"/>
  </r>
  <r>
    <s v="Aeronautical Engineering"/>
    <s v="24BAE065"/>
    <s v="YASHITHA V "/>
    <n v="1"/>
    <x v="15"/>
    <x v="15"/>
    <n v="100"/>
    <n v="0"/>
    <n v="100"/>
    <n v="0"/>
    <s v="Pass"/>
    <n v="1"/>
    <n v="10"/>
    <n v="1"/>
    <n v="0"/>
  </r>
  <r>
    <s v="Aeronautical Engineering"/>
    <s v="24BAE065"/>
    <s v="YASHITHA V "/>
    <n v="1"/>
    <x v="16"/>
    <x v="16"/>
    <n v="88"/>
    <n v="0"/>
    <n v="88"/>
    <n v="0"/>
    <s v="Pass"/>
    <n v="1"/>
    <n v="9"/>
    <n v="1"/>
    <n v="0"/>
  </r>
  <r>
    <s v="Aeronautical Engineering"/>
    <s v="24BAE065"/>
    <s v="YASHITHA V "/>
    <n v="1"/>
    <x v="17"/>
    <x v="17"/>
    <n v="47"/>
    <n v="47"/>
    <n v="94"/>
    <n v="0"/>
    <s v="Pass"/>
    <n v="1"/>
    <n v="10"/>
    <n v="4"/>
    <n v="1"/>
  </r>
  <r>
    <s v="Aeronautical Engineering"/>
    <s v="24BAE065"/>
    <s v="YASHITHA V "/>
    <n v="1"/>
    <x v="18"/>
    <x v="18"/>
    <n v="37"/>
    <n v="40"/>
    <n v="77"/>
    <n v="-3"/>
    <s v="Pass"/>
    <n v="1"/>
    <n v="8"/>
    <n v="3"/>
    <n v="1"/>
  </r>
  <r>
    <s v="Aeronautical Engineering"/>
    <s v="24BAE065"/>
    <s v="YASHITHA V "/>
    <n v="1"/>
    <x v="19"/>
    <x v="19"/>
    <n v="39"/>
    <n v="43"/>
    <n v="82"/>
    <n v="-4"/>
    <s v="Pass"/>
    <n v="1"/>
    <n v="9"/>
    <n v="4"/>
    <n v="1"/>
  </r>
  <r>
    <s v="Aeronautical Engineering"/>
    <s v="24BAE066"/>
    <s v="YESU PRAGEN S "/>
    <n v="2"/>
    <x v="0"/>
    <x v="0"/>
    <n v="46"/>
    <n v="35"/>
    <n v="81"/>
    <n v="11"/>
    <s v="Pass"/>
    <n v="1"/>
    <n v="8"/>
    <n v="4"/>
    <n v="1"/>
  </r>
  <r>
    <s v="Aeronautical Engineering"/>
    <s v="24BAE066"/>
    <s v="YESU PRAGEN S "/>
    <n v="2"/>
    <x v="1"/>
    <x v="1"/>
    <n v="45"/>
    <n v="34"/>
    <n v="79"/>
    <n v="11"/>
    <s v="Pass"/>
    <n v="1"/>
    <n v="8"/>
    <n v="4"/>
    <n v="1"/>
  </r>
  <r>
    <s v="Aeronautical Engineering"/>
    <s v="24BAE066"/>
    <s v="YESU PRAGEN S "/>
    <n v="2"/>
    <x v="3"/>
    <x v="3"/>
    <n v="41"/>
    <n v="35"/>
    <n v="76"/>
    <n v="6"/>
    <s v="Pass"/>
    <n v="1"/>
    <n v="8"/>
    <n v="1"/>
    <n v="1"/>
  </r>
  <r>
    <s v="Aeronautical Engineering"/>
    <s v="24BAE066"/>
    <s v="YESU PRAGEN S "/>
    <n v="2"/>
    <x v="20"/>
    <x v="20"/>
    <n v="36"/>
    <n v="40"/>
    <n v="76"/>
    <n v="-4"/>
    <s v="Pass"/>
    <n v="1"/>
    <n v="8"/>
    <n v="2"/>
    <n v="1"/>
  </r>
  <r>
    <s v="Aeronautical Engineering"/>
    <s v="24BAE066"/>
    <s v="YESU PRAGEN S "/>
    <n v="2"/>
    <x v="26"/>
    <x v="26"/>
    <n v="52"/>
    <n v="38"/>
    <n v="90"/>
    <n v="14"/>
    <s v="Pass"/>
    <n v="1"/>
    <n v="9"/>
    <n v="3"/>
    <n v="1"/>
  </r>
  <r>
    <s v="Aeronautical Engineering"/>
    <s v="24BAE066"/>
    <s v="YESU PRAGEN S "/>
    <n v="2"/>
    <x v="7"/>
    <x v="7"/>
    <n v="45"/>
    <n v="39"/>
    <n v="84"/>
    <n v="6"/>
    <s v="Pass"/>
    <n v="1"/>
    <n v="8"/>
    <n v="4"/>
    <n v="1"/>
  </r>
  <r>
    <s v="Aeronautical Engineering"/>
    <s v="24BAE066"/>
    <s v="YESU PRAGEN S "/>
    <n v="2"/>
    <x v="8"/>
    <x v="8"/>
    <n v="32"/>
    <n v="42"/>
    <n v="74"/>
    <n v="-10"/>
    <s v="Pass"/>
    <n v="1"/>
    <n v="8"/>
    <n v="3"/>
    <n v="1"/>
  </r>
  <r>
    <s v="Aeronautical Engineering"/>
    <s v="24BAE066"/>
    <s v="YESU PRAGEN S "/>
    <n v="2"/>
    <x v="9"/>
    <x v="9"/>
    <n v="30"/>
    <n v="43"/>
    <n v="73"/>
    <n v="-13"/>
    <s v="Pass"/>
    <n v="1"/>
    <n v="8"/>
    <n v="3"/>
    <n v="1"/>
  </r>
  <r>
    <s v="Aeronautical Engineering"/>
    <s v="24BAE066"/>
    <s v="YESU PRAGEN S "/>
    <n v="1"/>
    <x v="10"/>
    <x v="10"/>
    <n v="75"/>
    <n v="0"/>
    <n v="75"/>
    <n v="0"/>
    <s v="Pass"/>
    <n v="1"/>
    <n v="8"/>
    <n v="1"/>
    <n v="0"/>
  </r>
  <r>
    <s v="Aeronautical Engineering"/>
    <s v="24BAE066"/>
    <s v="YESU PRAGEN S "/>
    <n v="1"/>
    <x v="11"/>
    <x v="11"/>
    <n v="33"/>
    <n v="40"/>
    <n v="73"/>
    <n v="-7"/>
    <s v="Pass"/>
    <n v="1"/>
    <n v="9"/>
    <n v="3"/>
    <n v="1"/>
  </r>
  <r>
    <s v="Aeronautical Engineering"/>
    <s v="24BAE066"/>
    <s v="YESU PRAGEN S "/>
    <n v="1"/>
    <x v="12"/>
    <x v="12"/>
    <n v="90"/>
    <n v="0"/>
    <n v="90"/>
    <n v="0"/>
    <s v="Pass"/>
    <n v="1"/>
    <n v="9"/>
    <n v="1"/>
    <n v="0"/>
  </r>
  <r>
    <s v="Aeronautical Engineering"/>
    <s v="24BAE066"/>
    <s v="YESU PRAGEN S "/>
    <n v="1"/>
    <x v="13"/>
    <x v="13"/>
    <n v="29"/>
    <n v="39"/>
    <n v="68"/>
    <n v="-10"/>
    <s v="Pass"/>
    <n v="1"/>
    <n v="7"/>
    <n v="1"/>
    <n v="1"/>
  </r>
  <r>
    <s v="Aeronautical Engineering"/>
    <s v="24BAE066"/>
    <s v="YESU PRAGEN S "/>
    <n v="1"/>
    <x v="27"/>
    <x v="27"/>
    <n v="58"/>
    <n v="38"/>
    <n v="96"/>
    <n v="20"/>
    <s v="Pass"/>
    <n v="1"/>
    <n v="10"/>
    <n v="3"/>
    <n v="1"/>
  </r>
  <r>
    <s v="Aeronautical Engineering"/>
    <s v="24BAE066"/>
    <s v="YESU PRAGEN S "/>
    <n v="1"/>
    <x v="17"/>
    <x v="17"/>
    <n v="48"/>
    <n v="47"/>
    <n v="95"/>
    <n v="1"/>
    <s v="Pass"/>
    <n v="1"/>
    <n v="10"/>
    <n v="4"/>
    <n v="1"/>
  </r>
  <r>
    <s v="Aeronautical Engineering"/>
    <s v="24BAE066"/>
    <s v="YESU PRAGEN S "/>
    <n v="1"/>
    <x v="18"/>
    <x v="18"/>
    <n v="48"/>
    <n v="48"/>
    <n v="96"/>
    <n v="0"/>
    <s v="Pass"/>
    <n v="1"/>
    <n v="10"/>
    <n v="3"/>
    <n v="1"/>
  </r>
  <r>
    <s v="Aeronautical Engineering"/>
    <s v="24BAE066"/>
    <s v="YESU PRAGEN S "/>
    <n v="1"/>
    <x v="19"/>
    <x v="19"/>
    <n v="38"/>
    <n v="41"/>
    <n v="79"/>
    <n v="-3"/>
    <s v="Pass"/>
    <n v="1"/>
    <n v="8"/>
    <n v="4"/>
    <n v="1"/>
  </r>
  <r>
    <s v="Aeronautical Engineering"/>
    <s v="24BAE067"/>
    <s v="YUVANSARATHI M "/>
    <n v="2"/>
    <x v="0"/>
    <x v="0"/>
    <n v="47"/>
    <n v="36"/>
    <n v="83"/>
    <n v="11"/>
    <s v="Pass"/>
    <n v="1"/>
    <n v="8"/>
    <n v="4"/>
    <n v="1"/>
  </r>
  <r>
    <s v="Aeronautical Engineering"/>
    <s v="24BAE067"/>
    <s v="YUVANSARATHI M "/>
    <n v="2"/>
    <x v="1"/>
    <x v="1"/>
    <n v="45"/>
    <n v="40"/>
    <n v="85"/>
    <n v="5"/>
    <s v="Pass"/>
    <n v="1"/>
    <n v="9"/>
    <n v="4"/>
    <n v="1"/>
  </r>
  <r>
    <s v="Aeronautical Engineering"/>
    <s v="24BAE067"/>
    <s v="YUVANSARATHI M "/>
    <n v="2"/>
    <x v="2"/>
    <x v="2"/>
    <n v="82"/>
    <n v="0"/>
    <n v="82"/>
    <n v="0"/>
    <s v="Pass"/>
    <n v="1"/>
    <n v="9"/>
    <n v="1"/>
    <n v="0"/>
  </r>
  <r>
    <s v="Aeronautical Engineering"/>
    <s v="24BAE067"/>
    <s v="YUVANSARATHI M "/>
    <n v="2"/>
    <x v="3"/>
    <x v="3"/>
    <n v="38"/>
    <n v="34"/>
    <n v="72"/>
    <n v="4"/>
    <s v="Pass"/>
    <n v="1"/>
    <n v="7"/>
    <n v="1"/>
    <n v="1"/>
  </r>
  <r>
    <s v="Aeronautical Engineering"/>
    <s v="24BAE067"/>
    <s v="YUVANSARATHI M "/>
    <n v="2"/>
    <x v="4"/>
    <x v="4"/>
    <n v="34"/>
    <n v="38"/>
    <n v="72"/>
    <n v="-4"/>
    <s v="Pass"/>
    <n v="1"/>
    <n v="7"/>
    <n v="2"/>
    <n v="1"/>
  </r>
  <r>
    <s v="Aeronautical Engineering"/>
    <s v="24BAE067"/>
    <s v="YUVANSARATHI M "/>
    <n v="2"/>
    <x v="22"/>
    <x v="22"/>
    <n v="76"/>
    <n v="0"/>
    <n v="76"/>
    <n v="0"/>
    <s v="Pass"/>
    <n v="1"/>
    <n v="8"/>
    <n v="1"/>
    <n v="0"/>
  </r>
  <r>
    <s v="Aeronautical Engineering"/>
    <s v="24BAE067"/>
    <s v="YUVANSARATHI M "/>
    <n v="2"/>
    <x v="6"/>
    <x v="6"/>
    <n v="92"/>
    <n v="0"/>
    <n v="92"/>
    <n v="0"/>
    <s v="Pass"/>
    <n v="1"/>
    <n v="10"/>
    <n v="1"/>
    <n v="0"/>
  </r>
  <r>
    <s v="Aeronautical Engineering"/>
    <s v="24BAE067"/>
    <s v="YUVANSARATHI M "/>
    <n v="2"/>
    <x v="7"/>
    <x v="7"/>
    <n v="47"/>
    <n v="40"/>
    <n v="87"/>
    <n v="7"/>
    <s v="Pass"/>
    <n v="1"/>
    <n v="9"/>
    <n v="4"/>
    <n v="1"/>
  </r>
  <r>
    <s v="Aeronautical Engineering"/>
    <s v="24BAE067"/>
    <s v="YUVANSARATHI M "/>
    <n v="2"/>
    <x v="8"/>
    <x v="8"/>
    <n v="35"/>
    <n v="54"/>
    <n v="89"/>
    <n v="-19"/>
    <s v="Pass"/>
    <n v="1"/>
    <n v="10"/>
    <n v="3"/>
    <n v="1"/>
  </r>
  <r>
    <s v="Aeronautical Engineering"/>
    <s v="24BAE067"/>
    <s v="YUVANSARATHI M "/>
    <n v="2"/>
    <x v="9"/>
    <x v="9"/>
    <n v="38"/>
    <n v="45"/>
    <n v="83"/>
    <n v="-7"/>
    <s v="Pass"/>
    <n v="1"/>
    <n v="8"/>
    <n v="3"/>
    <n v="1"/>
  </r>
  <r>
    <s v="Aeronautical Engineering"/>
    <s v="24BAE067"/>
    <s v="YUVANSARATHI M "/>
    <n v="1"/>
    <x v="10"/>
    <x v="10"/>
    <n v="93"/>
    <n v="0"/>
    <n v="93"/>
    <n v="0"/>
    <s v="Pass"/>
    <n v="1"/>
    <n v="10"/>
    <n v="1"/>
    <n v="0"/>
  </r>
  <r>
    <s v="Aeronautical Engineering"/>
    <s v="24BAE067"/>
    <s v="YUVANSARATHI M "/>
    <n v="1"/>
    <x v="11"/>
    <x v="11"/>
    <n v="27"/>
    <n v="38"/>
    <n v="65"/>
    <n v="-11"/>
    <s v="Pass"/>
    <n v="1"/>
    <n v="8"/>
    <n v="3"/>
    <n v="1"/>
  </r>
  <r>
    <s v="Aeronautical Engineering"/>
    <s v="24BAE067"/>
    <s v="YUVANSARATHI M "/>
    <n v="1"/>
    <x v="12"/>
    <x v="12"/>
    <n v="66"/>
    <n v="0"/>
    <n v="66"/>
    <n v="0"/>
    <s v="Pass"/>
    <n v="1"/>
    <n v="7"/>
    <n v="1"/>
    <n v="0"/>
  </r>
  <r>
    <s v="Aeronautical Engineering"/>
    <s v="24BAE067"/>
    <s v="YUVANSARATHI M "/>
    <n v="1"/>
    <x v="13"/>
    <x v="13"/>
    <n v="27"/>
    <n v="45"/>
    <n v="72"/>
    <n v="-18"/>
    <s v="Pass"/>
    <n v="1"/>
    <n v="7"/>
    <n v="1"/>
    <n v="1"/>
  </r>
  <r>
    <s v="Aeronautical Engineering"/>
    <s v="24BAE067"/>
    <s v="YUVANSARATHI M "/>
    <n v="1"/>
    <x v="59"/>
    <x v="59"/>
    <n v="79"/>
    <n v="0"/>
    <n v="79"/>
    <n v="0"/>
    <s v="Pass"/>
    <n v="1"/>
    <n v="8"/>
    <n v="1"/>
    <n v="0"/>
  </r>
  <r>
    <s v="Aeronautical Engineering"/>
    <s v="24BAE067"/>
    <s v="YUVANSARATHI M "/>
    <n v="1"/>
    <x v="15"/>
    <x v="15"/>
    <n v="80"/>
    <n v="0"/>
    <n v="80"/>
    <n v="0"/>
    <s v="Pass"/>
    <n v="1"/>
    <n v="8"/>
    <n v="1"/>
    <n v="0"/>
  </r>
  <r>
    <s v="Aeronautical Engineering"/>
    <s v="24BAE067"/>
    <s v="YUVANSARATHI M "/>
    <n v="1"/>
    <x v="16"/>
    <x v="16"/>
    <n v="90"/>
    <n v="0"/>
    <n v="90"/>
    <n v="0"/>
    <s v="Pass"/>
    <n v="1"/>
    <n v="9"/>
    <n v="1"/>
    <n v="0"/>
  </r>
  <r>
    <s v="Aeronautical Engineering"/>
    <s v="24BAE067"/>
    <s v="YUVANSARATHI M "/>
    <n v="1"/>
    <x v="17"/>
    <x v="17"/>
    <n v="48"/>
    <n v="39"/>
    <n v="87"/>
    <n v="9"/>
    <s v="Pass"/>
    <n v="1"/>
    <n v="8"/>
    <n v="4"/>
    <n v="1"/>
  </r>
  <r>
    <s v="Aeronautical Engineering"/>
    <s v="24BAE067"/>
    <s v="YUVANSARATHI M "/>
    <n v="1"/>
    <x v="18"/>
    <x v="18"/>
    <n v="36"/>
    <n v="30"/>
    <n v="66"/>
    <n v="6"/>
    <s v="Pass"/>
    <n v="1"/>
    <n v="7"/>
    <n v="3"/>
    <n v="1"/>
  </r>
  <r>
    <s v="Aeronautical Engineering"/>
    <s v="24BAE067"/>
    <s v="YUVANSARATHI M "/>
    <n v="1"/>
    <x v="19"/>
    <x v="19"/>
    <n v="43"/>
    <n v="41"/>
    <n v="84"/>
    <n v="2"/>
    <s v="Pass"/>
    <n v="1"/>
    <n v="9"/>
    <n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AE966-4CEC-4DEF-832A-417296E683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15">
    <pivotField showAll="0"/>
    <pivotField showAll="0"/>
    <pivotField showAll="0"/>
    <pivotField showAll="0"/>
    <pivotField axis="axisRow" showAll="0">
      <items count="61">
        <item x="10"/>
        <item x="0"/>
        <item x="1"/>
        <item x="11"/>
        <item x="33"/>
        <item x="12"/>
        <item x="2"/>
        <item x="13"/>
        <item x="3"/>
        <item x="4"/>
        <item x="20"/>
        <item x="27"/>
        <item x="26"/>
        <item x="31"/>
        <item x="14"/>
        <item x="45"/>
        <item x="35"/>
        <item x="34"/>
        <item x="47"/>
        <item x="56"/>
        <item x="39"/>
        <item x="49"/>
        <item x="50"/>
        <item x="46"/>
        <item x="53"/>
        <item x="21"/>
        <item x="36"/>
        <item x="40"/>
        <item x="54"/>
        <item x="55"/>
        <item x="28"/>
        <item x="57"/>
        <item x="43"/>
        <item x="58"/>
        <item x="52"/>
        <item x="25"/>
        <item x="22"/>
        <item x="59"/>
        <item x="41"/>
        <item x="37"/>
        <item x="48"/>
        <item x="42"/>
        <item x="24"/>
        <item x="38"/>
        <item x="32"/>
        <item x="23"/>
        <item x="29"/>
        <item x="5"/>
        <item x="44"/>
        <item x="51"/>
        <item x="30"/>
        <item x="15"/>
        <item x="16"/>
        <item x="6"/>
        <item x="17"/>
        <item x="7"/>
        <item x="18"/>
        <item x="8"/>
        <item x="19"/>
        <item x="9"/>
        <item t="default"/>
      </items>
    </pivotField>
    <pivotField showAll="0">
      <items count="61">
        <item x="29"/>
        <item x="14"/>
        <item x="7"/>
        <item x="10"/>
        <item x="11"/>
        <item x="39"/>
        <item x="40"/>
        <item x="34"/>
        <item x="5"/>
        <item x="52"/>
        <item x="42"/>
        <item x="55"/>
        <item x="59"/>
        <item x="38"/>
        <item x="15"/>
        <item x="22"/>
        <item x="4"/>
        <item x="23"/>
        <item x="18"/>
        <item x="8"/>
        <item x="19"/>
        <item x="51"/>
        <item x="33"/>
        <item x="21"/>
        <item x="26"/>
        <item x="27"/>
        <item x="46"/>
        <item x="49"/>
        <item x="43"/>
        <item x="36"/>
        <item x="41"/>
        <item x="13"/>
        <item x="2"/>
        <item x="12"/>
        <item x="57"/>
        <item x="6"/>
        <item x="16"/>
        <item x="45"/>
        <item x="24"/>
        <item x="35"/>
        <item x="32"/>
        <item x="17"/>
        <item x="0"/>
        <item x="37"/>
        <item x="1"/>
        <item x="9"/>
        <item x="28"/>
        <item x="48"/>
        <item x="20"/>
        <item x="53"/>
        <item x="58"/>
        <item x="31"/>
        <item x="3"/>
        <item x="30"/>
        <item x="54"/>
        <item x="25"/>
        <item x="56"/>
        <item x="44"/>
        <item x="50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Pass Rate" fld="11" subtotal="average" baseField="4" baseItem="0" numFmtId="10"/>
  </dataFields>
  <formats count="2">
    <format dxfId="6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AE3E4-4EDF-46EF-8E11-DB775968428F}" name="Table3" displayName="Table3" ref="A1:K69" totalsRowShown="0" headerRowDxfId="1">
  <autoFilter ref="A1:K69" xr:uid="{86C34BE3-E173-4A3D-A618-2839BA8DE2DF}"/>
  <tableColumns count="11">
    <tableColumn id="1" xr3:uid="{7DA5FEBB-7878-4906-97D6-6E35D0D71E54}" name="Register_No (Primary Key)"/>
    <tableColumn id="2" xr3:uid="{C6E7BA46-3509-4DDB-B9DB-B97A608940D6}" name="Student_Name"/>
    <tableColumn id="3" xr3:uid="{A8140B17-3726-4282-9974-BC516903458E}" name="Gender"/>
    <tableColumn id="4" xr3:uid="{AECCF876-BDD7-48CF-9782-C54D65597189}" name="Department"/>
    <tableColumn id="5" xr3:uid="{BF2A201C-098D-4F8C-B98E-55ED91FBB715}" name="12th_Percentage"/>
    <tableColumn id="6" xr3:uid="{FBA7CD31-12D4-4E8F-857E-8EC4395F9425}" name="Cutoff"/>
    <tableColumn id="7" xr3:uid="{DD3386CE-2492-417B-8575-3F040E322F8C}" name="Board"/>
    <tableColumn id="8" xr3:uid="{89641A38-BDB6-4C52-8804-26C4D50B46C8}" name="Medium"/>
    <tableColumn id="9" xr3:uid="{0AA0D2EF-2D4D-4873-B0FB-9B64B6010FCB}" name="Parent_Education_Index" dataDxfId="0"/>
    <tableColumn id="10" xr3:uid="{C6E45F97-0D76-402C-A447-7163389C8349}" name="Total_Family_Income"/>
    <tableColumn id="11" xr3:uid="{3B361F5E-3D71-43D9-B5C4-F801B43FDB3E}" name="Admission_Year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FE04E-FC2B-4A9B-A171-EC4A1FB6C95D}" name="Table4" displayName="Table4" ref="A1:O1350" totalsRowShown="0" headerRowDxfId="28" dataDxfId="27">
  <tableColumns count="15">
    <tableColumn id="4" xr3:uid="{5FFAB62E-2F7D-43A4-A312-B2E96803956C}" name="Department" dataDxfId="26"/>
    <tableColumn id="5" xr3:uid="{4A74149D-54A9-4409-9D28-A4EDB2A76CA9}" name="Register Number" dataDxfId="25"/>
    <tableColumn id="6" xr3:uid="{22041FC8-5973-4E2A-898A-C2097824C0AB}" name="Student Name" dataDxfId="24"/>
    <tableColumn id="7" xr3:uid="{47AC3834-9531-4CE5-9217-84BEEF843615}" name="Sem No" dataDxfId="23"/>
    <tableColumn id="8" xr3:uid="{B70D97F0-B8C4-4E11-952D-1A6826754272}" name="Course Code" dataDxfId="22"/>
    <tableColumn id="9" xr3:uid="{B8B78AD1-9116-402A-982D-E411296D9D9E}" name="Course Name" dataDxfId="21"/>
    <tableColumn id="10" xr3:uid="{7883DA13-044A-45F7-BA63-423700339FE2}" name="Internal Mark" dataDxfId="20"/>
    <tableColumn id="11" xr3:uid="{1AD7224D-79FB-45D7-871D-4EECCC7E05F9}" name="External Mark" dataDxfId="19"/>
    <tableColumn id="12" xr3:uid="{03CDDBF8-A3C9-4EBE-9ACC-26E4877F8FB5}" name="Total Mark" dataDxfId="18"/>
    <tableColumn id="3" xr3:uid="{5E635A17-6392-4431-9451-0CDC7AB3FCD8}" name="Internal-External Gap" dataDxfId="17">
      <calculatedColumnFormula>IF(H2=0,0,G2-H2)</calculatedColumnFormula>
    </tableColumn>
    <tableColumn id="13" xr3:uid="{AB7A8EB8-9615-413B-AFB4-EEDD55C19B64}" name="Result" dataDxfId="16"/>
    <tableColumn id="14" xr3:uid="{6078B1E0-7EB1-45DD-A4A5-3FEEFBB76135}" name="Result_Binary" dataDxfId="15">
      <calculatedColumnFormula>IF(K2="Pass",1,0)</calculatedColumnFormula>
    </tableColumn>
    <tableColumn id="15" xr3:uid="{20A41D9F-235F-448E-BE91-968D6AD4963D}" name="gp" dataDxfId="14"/>
    <tableColumn id="16" xr3:uid="{DF0D932E-E6CD-485C-8132-B6D9CB16DC00}" name="Credit Points" dataDxfId="13"/>
    <tableColumn id="17" xr3:uid="{9AD8E2B4-42D3-4CDF-9CAB-3E0F8E460825}" name="Has_External" dataDxfId="12">
      <calculatedColumnFormula>IF(H2=0,0,1)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BCAC-7E81-4800-8804-B6FB36A40EC0}">
  <dimension ref="A1:K69"/>
  <sheetViews>
    <sheetView workbookViewId="0">
      <selection activeCell="L7" sqref="L7"/>
    </sheetView>
  </sheetViews>
  <sheetFormatPr defaultRowHeight="14.4" x14ac:dyDescent="0.3"/>
  <cols>
    <col min="1" max="1" width="24.33203125" customWidth="1"/>
    <col min="2" max="2" width="21.5546875" bestFit="1" customWidth="1"/>
    <col min="3" max="3" width="9" customWidth="1"/>
    <col min="4" max="4" width="29.6640625" bestFit="1" customWidth="1"/>
    <col min="5" max="5" width="16.6640625" customWidth="1"/>
    <col min="6" max="6" width="7.88671875" customWidth="1"/>
    <col min="7" max="7" width="12.77734375" bestFit="1" customWidth="1"/>
    <col min="8" max="8" width="9.6640625" customWidth="1"/>
    <col min="9" max="9" width="22.77734375" customWidth="1"/>
    <col min="10" max="10" width="20.44140625" customWidth="1"/>
    <col min="11" max="11" width="16.109375" customWidth="1"/>
    <col min="12" max="12" width="13.88671875" bestFit="1" customWidth="1"/>
  </cols>
  <sheetData>
    <row r="1" spans="1:11" s="4" customFormat="1" x14ac:dyDescent="0.3">
      <c r="A1" s="4" t="s">
        <v>281</v>
      </c>
      <c r="B1" s="4" t="s">
        <v>282</v>
      </c>
      <c r="C1" s="4" t="s">
        <v>283</v>
      </c>
      <c r="D1" s="4" t="s">
        <v>0</v>
      </c>
      <c r="E1" s="4" t="s">
        <v>284</v>
      </c>
      <c r="F1" s="4" t="s">
        <v>285</v>
      </c>
      <c r="G1" s="4" t="s">
        <v>286</v>
      </c>
      <c r="H1" s="4" t="s">
        <v>287</v>
      </c>
      <c r="I1" s="4" t="s">
        <v>288</v>
      </c>
      <c r="J1" s="4" t="s">
        <v>289</v>
      </c>
      <c r="K1" s="4" t="s">
        <v>290</v>
      </c>
    </row>
    <row r="2" spans="1:11" x14ac:dyDescent="0.3">
      <c r="A2" t="s">
        <v>16</v>
      </c>
      <c r="B2" t="s">
        <v>291</v>
      </c>
      <c r="C2" t="s">
        <v>292</v>
      </c>
      <c r="D2" t="s">
        <v>293</v>
      </c>
      <c r="E2">
        <v>91.33</v>
      </c>
      <c r="F2">
        <v>186.5</v>
      </c>
      <c r="G2" t="s">
        <v>294</v>
      </c>
      <c r="H2" t="s">
        <v>295</v>
      </c>
      <c r="I2" s="6">
        <v>0.2</v>
      </c>
      <c r="J2">
        <v>1.5</v>
      </c>
      <c r="K2" t="s">
        <v>296</v>
      </c>
    </row>
    <row r="3" spans="1:11" x14ac:dyDescent="0.3">
      <c r="A3" t="s">
        <v>59</v>
      </c>
      <c r="B3" t="s">
        <v>297</v>
      </c>
      <c r="C3" t="s">
        <v>292</v>
      </c>
      <c r="D3" t="s">
        <v>293</v>
      </c>
      <c r="E3">
        <v>82.2</v>
      </c>
      <c r="F3">
        <v>164</v>
      </c>
      <c r="G3" t="s">
        <v>298</v>
      </c>
      <c r="H3" t="s">
        <v>295</v>
      </c>
      <c r="I3" s="6">
        <v>0.3</v>
      </c>
      <c r="J3">
        <v>1.5</v>
      </c>
      <c r="K3" t="s">
        <v>296</v>
      </c>
    </row>
    <row r="4" spans="1:11" x14ac:dyDescent="0.3">
      <c r="A4" t="s">
        <v>67</v>
      </c>
      <c r="B4" t="s">
        <v>299</v>
      </c>
      <c r="C4" t="s">
        <v>292</v>
      </c>
      <c r="D4" t="s">
        <v>293</v>
      </c>
      <c r="E4">
        <v>93.8</v>
      </c>
      <c r="F4">
        <v>192.5</v>
      </c>
      <c r="G4" t="s">
        <v>300</v>
      </c>
      <c r="H4" t="s">
        <v>301</v>
      </c>
      <c r="I4" s="6">
        <v>0</v>
      </c>
      <c r="J4">
        <v>0.75</v>
      </c>
      <c r="K4" t="s">
        <v>296</v>
      </c>
    </row>
    <row r="5" spans="1:11" x14ac:dyDescent="0.3">
      <c r="A5" t="s">
        <v>73</v>
      </c>
      <c r="B5" t="s">
        <v>302</v>
      </c>
      <c r="C5" t="s">
        <v>292</v>
      </c>
      <c r="D5" t="s">
        <v>293</v>
      </c>
      <c r="E5">
        <v>90</v>
      </c>
      <c r="F5">
        <v>184.5</v>
      </c>
      <c r="G5" t="s">
        <v>300</v>
      </c>
      <c r="H5" t="s">
        <v>301</v>
      </c>
      <c r="I5" s="6">
        <v>0.2</v>
      </c>
      <c r="J5">
        <v>0.75</v>
      </c>
      <c r="K5" t="s">
        <v>296</v>
      </c>
    </row>
    <row r="6" spans="1:11" x14ac:dyDescent="0.3">
      <c r="A6" t="s">
        <v>77</v>
      </c>
      <c r="B6" t="s">
        <v>303</v>
      </c>
      <c r="C6" t="s">
        <v>292</v>
      </c>
      <c r="D6" t="s">
        <v>293</v>
      </c>
      <c r="E6">
        <v>89</v>
      </c>
      <c r="F6">
        <v>185</v>
      </c>
      <c r="G6" t="s">
        <v>300</v>
      </c>
      <c r="H6" t="s">
        <v>304</v>
      </c>
      <c r="I6" s="6">
        <v>0</v>
      </c>
      <c r="J6">
        <v>0.75</v>
      </c>
      <c r="K6" t="s">
        <v>296</v>
      </c>
    </row>
    <row r="7" spans="1:11" x14ac:dyDescent="0.3">
      <c r="A7" t="s">
        <v>79</v>
      </c>
      <c r="B7" t="s">
        <v>305</v>
      </c>
      <c r="C7" t="s">
        <v>292</v>
      </c>
      <c r="D7" t="s">
        <v>293</v>
      </c>
      <c r="E7">
        <v>84.4</v>
      </c>
      <c r="F7">
        <v>184</v>
      </c>
      <c r="G7" t="s">
        <v>306</v>
      </c>
      <c r="H7" t="s">
        <v>301</v>
      </c>
      <c r="I7" s="6">
        <v>0.5</v>
      </c>
      <c r="J7">
        <v>5.25</v>
      </c>
      <c r="K7" t="s">
        <v>296</v>
      </c>
    </row>
    <row r="8" spans="1:11" x14ac:dyDescent="0.3">
      <c r="A8" t="s">
        <v>85</v>
      </c>
      <c r="B8" t="s">
        <v>307</v>
      </c>
      <c r="C8" t="s">
        <v>292</v>
      </c>
      <c r="D8" t="s">
        <v>293</v>
      </c>
      <c r="E8">
        <v>92.2</v>
      </c>
      <c r="F8">
        <v>186.5</v>
      </c>
      <c r="G8" t="s">
        <v>300</v>
      </c>
      <c r="H8" t="s">
        <v>301</v>
      </c>
      <c r="I8" s="6">
        <v>0.4</v>
      </c>
      <c r="J8">
        <v>7.5</v>
      </c>
      <c r="K8" t="s">
        <v>296</v>
      </c>
    </row>
    <row r="9" spans="1:11" x14ac:dyDescent="0.3">
      <c r="A9" t="s">
        <v>90</v>
      </c>
      <c r="B9" t="s">
        <v>308</v>
      </c>
      <c r="C9" t="s">
        <v>309</v>
      </c>
      <c r="D9" t="s">
        <v>293</v>
      </c>
      <c r="E9">
        <v>90</v>
      </c>
      <c r="F9">
        <v>183</v>
      </c>
      <c r="G9" t="s">
        <v>300</v>
      </c>
      <c r="H9" t="s">
        <v>301</v>
      </c>
      <c r="I9" s="6">
        <v>0.7</v>
      </c>
      <c r="J9">
        <v>7.5</v>
      </c>
      <c r="K9" t="s">
        <v>296</v>
      </c>
    </row>
    <row r="10" spans="1:11" x14ac:dyDescent="0.3">
      <c r="A10" t="s">
        <v>94</v>
      </c>
      <c r="B10" t="s">
        <v>310</v>
      </c>
      <c r="C10" t="s">
        <v>309</v>
      </c>
      <c r="D10" t="s">
        <v>293</v>
      </c>
      <c r="E10">
        <v>83.2</v>
      </c>
      <c r="F10">
        <v>157</v>
      </c>
      <c r="G10" t="s">
        <v>298</v>
      </c>
      <c r="H10" t="s">
        <v>295</v>
      </c>
      <c r="I10" s="6">
        <v>0.5</v>
      </c>
      <c r="J10">
        <v>7.5</v>
      </c>
      <c r="K10" t="s">
        <v>296</v>
      </c>
    </row>
    <row r="11" spans="1:11" x14ac:dyDescent="0.3">
      <c r="A11" t="s">
        <v>96</v>
      </c>
      <c r="B11" t="s">
        <v>311</v>
      </c>
      <c r="C11" t="s">
        <v>292</v>
      </c>
      <c r="D11" t="s">
        <v>293</v>
      </c>
      <c r="E11">
        <v>86.17</v>
      </c>
      <c r="F11">
        <v>174</v>
      </c>
      <c r="G11" t="s">
        <v>300</v>
      </c>
      <c r="H11" t="s">
        <v>301</v>
      </c>
      <c r="I11" s="6">
        <v>0.1</v>
      </c>
      <c r="J11">
        <v>0.75</v>
      </c>
      <c r="K11" t="s">
        <v>296</v>
      </c>
    </row>
    <row r="12" spans="1:11" x14ac:dyDescent="0.3">
      <c r="A12" t="s">
        <v>98</v>
      </c>
      <c r="B12" t="s">
        <v>312</v>
      </c>
      <c r="C12" t="s">
        <v>292</v>
      </c>
      <c r="D12" t="s">
        <v>293</v>
      </c>
      <c r="E12">
        <v>72</v>
      </c>
      <c r="F12">
        <v>150</v>
      </c>
      <c r="G12" t="s">
        <v>300</v>
      </c>
      <c r="H12" t="s">
        <v>301</v>
      </c>
      <c r="I12" s="6">
        <v>0</v>
      </c>
      <c r="J12">
        <v>0.75</v>
      </c>
      <c r="K12" t="s">
        <v>296</v>
      </c>
    </row>
    <row r="13" spans="1:11" x14ac:dyDescent="0.3">
      <c r="A13" t="s">
        <v>103</v>
      </c>
      <c r="B13" t="s">
        <v>313</v>
      </c>
      <c r="C13" t="s">
        <v>309</v>
      </c>
      <c r="D13" t="s">
        <v>293</v>
      </c>
      <c r="E13">
        <v>86.4</v>
      </c>
      <c r="F13">
        <v>164.5</v>
      </c>
      <c r="G13" t="s">
        <v>300</v>
      </c>
      <c r="H13" t="s">
        <v>301</v>
      </c>
      <c r="I13" s="6">
        <v>0</v>
      </c>
      <c r="J13">
        <v>0.75</v>
      </c>
      <c r="K13" t="s">
        <v>296</v>
      </c>
    </row>
    <row r="14" spans="1:11" x14ac:dyDescent="0.3">
      <c r="A14" t="s">
        <v>107</v>
      </c>
      <c r="B14" t="s">
        <v>314</v>
      </c>
      <c r="C14" t="s">
        <v>309</v>
      </c>
      <c r="D14" t="s">
        <v>293</v>
      </c>
      <c r="E14">
        <v>92.2</v>
      </c>
      <c r="F14">
        <v>187.5</v>
      </c>
      <c r="G14" t="s">
        <v>300</v>
      </c>
      <c r="H14" t="s">
        <v>301</v>
      </c>
      <c r="I14" s="6">
        <v>0.1</v>
      </c>
      <c r="J14">
        <v>0.75</v>
      </c>
      <c r="K14" t="s">
        <v>296</v>
      </c>
    </row>
    <row r="15" spans="1:11" x14ac:dyDescent="0.3">
      <c r="A15" t="s">
        <v>111</v>
      </c>
      <c r="B15" t="s">
        <v>315</v>
      </c>
      <c r="C15" t="s">
        <v>309</v>
      </c>
      <c r="D15" t="s">
        <v>293</v>
      </c>
      <c r="E15">
        <v>94</v>
      </c>
      <c r="F15">
        <v>184.5</v>
      </c>
      <c r="G15" t="s">
        <v>298</v>
      </c>
      <c r="H15" t="s">
        <v>301</v>
      </c>
      <c r="I15" s="6">
        <v>0.4</v>
      </c>
      <c r="J15">
        <v>0.75</v>
      </c>
      <c r="K15" t="s">
        <v>296</v>
      </c>
    </row>
    <row r="16" spans="1:11" x14ac:dyDescent="0.3">
      <c r="A16" t="s">
        <v>119</v>
      </c>
      <c r="B16" t="s">
        <v>316</v>
      </c>
      <c r="C16" t="s">
        <v>309</v>
      </c>
      <c r="D16" t="s">
        <v>293</v>
      </c>
      <c r="E16">
        <v>80.400000000000006</v>
      </c>
      <c r="F16">
        <v>162.5</v>
      </c>
      <c r="G16" t="s">
        <v>300</v>
      </c>
      <c r="H16" t="s">
        <v>301</v>
      </c>
      <c r="I16" s="6">
        <v>0.3</v>
      </c>
      <c r="J16">
        <v>0.75</v>
      </c>
      <c r="K16" t="s">
        <v>296</v>
      </c>
    </row>
    <row r="17" spans="1:11" x14ac:dyDescent="0.3">
      <c r="A17" t="s">
        <v>121</v>
      </c>
      <c r="B17" t="s">
        <v>317</v>
      </c>
      <c r="C17" t="s">
        <v>309</v>
      </c>
      <c r="D17" t="s">
        <v>293</v>
      </c>
      <c r="E17">
        <v>96.4</v>
      </c>
      <c r="F17">
        <v>192</v>
      </c>
      <c r="G17" t="s">
        <v>300</v>
      </c>
      <c r="H17" t="s">
        <v>301</v>
      </c>
      <c r="I17" s="6">
        <v>0.2</v>
      </c>
      <c r="J17">
        <v>6</v>
      </c>
      <c r="K17" t="s">
        <v>296</v>
      </c>
    </row>
    <row r="18" spans="1:11" x14ac:dyDescent="0.3">
      <c r="A18" t="s">
        <v>127</v>
      </c>
      <c r="B18" t="s">
        <v>318</v>
      </c>
      <c r="C18" t="s">
        <v>292</v>
      </c>
      <c r="D18" t="s">
        <v>293</v>
      </c>
      <c r="E18">
        <v>92.5</v>
      </c>
      <c r="F18">
        <v>186.5</v>
      </c>
      <c r="G18" t="s">
        <v>294</v>
      </c>
      <c r="H18" t="s">
        <v>295</v>
      </c>
      <c r="I18" s="6">
        <v>0.1</v>
      </c>
      <c r="J18">
        <v>0.75</v>
      </c>
      <c r="K18" t="s">
        <v>296</v>
      </c>
    </row>
    <row r="19" spans="1:11" x14ac:dyDescent="0.3">
      <c r="A19" t="s">
        <v>129</v>
      </c>
      <c r="B19" t="s">
        <v>319</v>
      </c>
      <c r="C19" t="s">
        <v>309</v>
      </c>
      <c r="D19" t="s">
        <v>293</v>
      </c>
      <c r="E19">
        <v>65.400000000000006</v>
      </c>
      <c r="F19">
        <v>117</v>
      </c>
      <c r="G19" t="s">
        <v>298</v>
      </c>
      <c r="H19" t="s">
        <v>295</v>
      </c>
      <c r="I19" s="6">
        <v>0</v>
      </c>
      <c r="J19">
        <v>12</v>
      </c>
      <c r="K19" t="s">
        <v>296</v>
      </c>
    </row>
    <row r="20" spans="1:11" x14ac:dyDescent="0.3">
      <c r="A20" t="s">
        <v>131</v>
      </c>
      <c r="B20" t="s">
        <v>320</v>
      </c>
      <c r="C20" t="s">
        <v>292</v>
      </c>
      <c r="D20" t="s">
        <v>293</v>
      </c>
      <c r="E20">
        <v>76</v>
      </c>
      <c r="F20">
        <v>138.5</v>
      </c>
      <c r="G20" t="s">
        <v>321</v>
      </c>
      <c r="H20" t="s">
        <v>295</v>
      </c>
      <c r="I20" s="6">
        <v>0.3</v>
      </c>
      <c r="J20">
        <v>3.75</v>
      </c>
      <c r="K20" t="s">
        <v>296</v>
      </c>
    </row>
    <row r="21" spans="1:11" x14ac:dyDescent="0.3">
      <c r="A21" t="s">
        <v>135</v>
      </c>
      <c r="B21" t="s">
        <v>322</v>
      </c>
      <c r="C21" t="s">
        <v>292</v>
      </c>
      <c r="D21" t="s">
        <v>293</v>
      </c>
      <c r="E21">
        <v>71.33</v>
      </c>
      <c r="F21">
        <v>115</v>
      </c>
      <c r="G21" t="s">
        <v>321</v>
      </c>
      <c r="H21" t="s">
        <v>295</v>
      </c>
      <c r="I21" s="6">
        <v>0.4</v>
      </c>
      <c r="J21">
        <v>3.75</v>
      </c>
      <c r="K21" t="s">
        <v>296</v>
      </c>
    </row>
    <row r="22" spans="1:11" x14ac:dyDescent="0.3">
      <c r="A22" t="s">
        <v>137</v>
      </c>
      <c r="B22" t="s">
        <v>323</v>
      </c>
      <c r="C22" t="s">
        <v>309</v>
      </c>
      <c r="D22" t="s">
        <v>293</v>
      </c>
      <c r="E22">
        <v>89.67</v>
      </c>
      <c r="F22">
        <v>175.5</v>
      </c>
      <c r="G22" t="s">
        <v>300</v>
      </c>
      <c r="H22" t="s">
        <v>301</v>
      </c>
      <c r="I22" s="6">
        <v>0.2</v>
      </c>
      <c r="J22">
        <v>0.75</v>
      </c>
      <c r="K22" t="s">
        <v>296</v>
      </c>
    </row>
    <row r="23" spans="1:11" x14ac:dyDescent="0.3">
      <c r="A23" t="s">
        <v>139</v>
      </c>
      <c r="B23" t="s">
        <v>324</v>
      </c>
      <c r="C23" t="s">
        <v>309</v>
      </c>
      <c r="D23" t="s">
        <v>293</v>
      </c>
      <c r="E23">
        <v>86.58</v>
      </c>
      <c r="F23">
        <v>166.75</v>
      </c>
      <c r="G23" t="s">
        <v>325</v>
      </c>
      <c r="H23" t="s">
        <v>295</v>
      </c>
      <c r="I23" s="6">
        <v>0.2</v>
      </c>
      <c r="J23">
        <v>3.75</v>
      </c>
      <c r="K23" t="s">
        <v>296</v>
      </c>
    </row>
    <row r="24" spans="1:11" x14ac:dyDescent="0.3">
      <c r="A24" t="s">
        <v>143</v>
      </c>
      <c r="B24" t="s">
        <v>326</v>
      </c>
      <c r="C24" t="s">
        <v>309</v>
      </c>
      <c r="D24" t="s">
        <v>293</v>
      </c>
      <c r="E24">
        <v>45.33</v>
      </c>
      <c r="F24">
        <v>112</v>
      </c>
      <c r="G24" t="s">
        <v>327</v>
      </c>
      <c r="H24" t="s">
        <v>295</v>
      </c>
      <c r="I24" s="6">
        <v>0.8</v>
      </c>
      <c r="J24">
        <v>12</v>
      </c>
      <c r="K24" t="s">
        <v>296</v>
      </c>
    </row>
    <row r="25" spans="1:11" x14ac:dyDescent="0.3">
      <c r="A25" t="s">
        <v>147</v>
      </c>
      <c r="B25" t="s">
        <v>328</v>
      </c>
      <c r="C25" t="s">
        <v>292</v>
      </c>
      <c r="D25" t="s">
        <v>293</v>
      </c>
      <c r="E25">
        <v>74.83</v>
      </c>
      <c r="F25">
        <v>150</v>
      </c>
      <c r="G25" t="s">
        <v>321</v>
      </c>
      <c r="H25" t="s">
        <v>295</v>
      </c>
      <c r="I25" s="6">
        <v>0.1</v>
      </c>
      <c r="J25">
        <v>1.5</v>
      </c>
      <c r="K25" t="s">
        <v>296</v>
      </c>
    </row>
    <row r="26" spans="1:11" x14ac:dyDescent="0.3">
      <c r="A26" t="s">
        <v>151</v>
      </c>
      <c r="B26" t="s">
        <v>329</v>
      </c>
      <c r="C26" t="s">
        <v>309</v>
      </c>
      <c r="D26" t="s">
        <v>293</v>
      </c>
      <c r="E26">
        <v>89.2</v>
      </c>
      <c r="F26">
        <v>175.5</v>
      </c>
      <c r="G26" t="s">
        <v>300</v>
      </c>
      <c r="H26" t="s">
        <v>301</v>
      </c>
      <c r="I26" s="6">
        <v>0.1</v>
      </c>
      <c r="J26">
        <v>0.75</v>
      </c>
      <c r="K26" t="s">
        <v>296</v>
      </c>
    </row>
    <row r="27" spans="1:11" x14ac:dyDescent="0.3">
      <c r="A27" t="s">
        <v>157</v>
      </c>
      <c r="B27" t="s">
        <v>330</v>
      </c>
      <c r="C27" t="s">
        <v>292</v>
      </c>
      <c r="D27" t="s">
        <v>293</v>
      </c>
      <c r="E27">
        <v>93.8</v>
      </c>
      <c r="F27">
        <v>192.5</v>
      </c>
      <c r="G27" t="s">
        <v>300</v>
      </c>
      <c r="H27" t="s">
        <v>304</v>
      </c>
      <c r="I27" s="6">
        <v>0.1</v>
      </c>
      <c r="J27">
        <v>0.25</v>
      </c>
      <c r="K27" t="s">
        <v>296</v>
      </c>
    </row>
    <row r="28" spans="1:11" x14ac:dyDescent="0.3">
      <c r="A28" t="s">
        <v>159</v>
      </c>
      <c r="B28" t="s">
        <v>331</v>
      </c>
      <c r="C28" t="s">
        <v>292</v>
      </c>
      <c r="D28" t="s">
        <v>293</v>
      </c>
      <c r="E28">
        <v>90.83</v>
      </c>
      <c r="F28">
        <v>186</v>
      </c>
      <c r="G28" t="s">
        <v>300</v>
      </c>
      <c r="H28" t="s">
        <v>301</v>
      </c>
      <c r="I28" s="6">
        <v>0.6</v>
      </c>
      <c r="J28">
        <v>1</v>
      </c>
      <c r="K28" t="s">
        <v>296</v>
      </c>
    </row>
    <row r="29" spans="1:11" x14ac:dyDescent="0.3">
      <c r="A29" t="s">
        <v>163</v>
      </c>
      <c r="B29" t="s">
        <v>332</v>
      </c>
      <c r="C29" t="s">
        <v>292</v>
      </c>
      <c r="D29" t="s">
        <v>293</v>
      </c>
      <c r="E29">
        <v>96.2</v>
      </c>
      <c r="F29">
        <v>192</v>
      </c>
      <c r="G29" t="s">
        <v>300</v>
      </c>
      <c r="H29" t="s">
        <v>301</v>
      </c>
      <c r="I29" s="6">
        <v>0.6</v>
      </c>
      <c r="J29">
        <v>15</v>
      </c>
      <c r="K29" t="s">
        <v>296</v>
      </c>
    </row>
    <row r="30" spans="1:11" x14ac:dyDescent="0.3">
      <c r="A30" t="s">
        <v>167</v>
      </c>
      <c r="B30" t="s">
        <v>333</v>
      </c>
      <c r="C30" t="s">
        <v>309</v>
      </c>
      <c r="D30" t="s">
        <v>293</v>
      </c>
      <c r="E30">
        <v>93.83</v>
      </c>
      <c r="F30">
        <v>183.5</v>
      </c>
      <c r="G30" t="s">
        <v>300</v>
      </c>
      <c r="H30" t="s">
        <v>301</v>
      </c>
      <c r="I30" s="6">
        <v>0.1</v>
      </c>
      <c r="J30">
        <v>1</v>
      </c>
      <c r="K30" t="s">
        <v>296</v>
      </c>
    </row>
    <row r="31" spans="1:11" x14ac:dyDescent="0.3">
      <c r="A31" t="s">
        <v>169</v>
      </c>
      <c r="B31" t="s">
        <v>334</v>
      </c>
      <c r="C31" t="s">
        <v>292</v>
      </c>
      <c r="D31" t="s">
        <v>293</v>
      </c>
      <c r="E31">
        <v>84.4</v>
      </c>
      <c r="F31">
        <v>166.5</v>
      </c>
      <c r="G31" t="s">
        <v>300</v>
      </c>
      <c r="H31" t="s">
        <v>301</v>
      </c>
      <c r="I31" s="6">
        <v>0.5</v>
      </c>
      <c r="J31">
        <v>0.75</v>
      </c>
      <c r="K31" t="s">
        <v>296</v>
      </c>
    </row>
    <row r="32" spans="1:11" x14ac:dyDescent="0.3">
      <c r="A32" t="s">
        <v>175</v>
      </c>
      <c r="B32" t="s">
        <v>335</v>
      </c>
      <c r="C32" t="s">
        <v>309</v>
      </c>
      <c r="D32" t="s">
        <v>293</v>
      </c>
      <c r="E32">
        <v>75.67</v>
      </c>
      <c r="F32">
        <v>133</v>
      </c>
      <c r="G32" t="s">
        <v>298</v>
      </c>
      <c r="H32" t="s">
        <v>295</v>
      </c>
      <c r="I32" s="6">
        <v>0.6</v>
      </c>
      <c r="J32">
        <v>2.25</v>
      </c>
      <c r="K32" t="s">
        <v>296</v>
      </c>
    </row>
    <row r="33" spans="1:11" x14ac:dyDescent="0.3">
      <c r="A33" t="s">
        <v>179</v>
      </c>
      <c r="B33" t="s">
        <v>336</v>
      </c>
      <c r="C33" t="s">
        <v>309</v>
      </c>
      <c r="D33" t="s">
        <v>293</v>
      </c>
      <c r="E33">
        <v>71</v>
      </c>
      <c r="F33">
        <v>120.5</v>
      </c>
      <c r="G33" t="s">
        <v>298</v>
      </c>
      <c r="H33" t="s">
        <v>295</v>
      </c>
      <c r="I33" s="6">
        <v>0.2</v>
      </c>
      <c r="J33">
        <v>7.5</v>
      </c>
      <c r="K33" t="s">
        <v>296</v>
      </c>
    </row>
    <row r="34" spans="1:11" x14ac:dyDescent="0.3">
      <c r="A34" t="s">
        <v>171</v>
      </c>
      <c r="B34" t="s">
        <v>337</v>
      </c>
      <c r="C34" t="s">
        <v>292</v>
      </c>
      <c r="D34" t="s">
        <v>293</v>
      </c>
      <c r="E34">
        <v>68.67</v>
      </c>
      <c r="F34">
        <v>120</v>
      </c>
      <c r="G34" t="s">
        <v>298</v>
      </c>
      <c r="H34" t="s">
        <v>295</v>
      </c>
      <c r="I34" s="6">
        <v>0.4</v>
      </c>
      <c r="J34">
        <v>3.75</v>
      </c>
      <c r="K34" t="s">
        <v>296</v>
      </c>
    </row>
    <row r="35" spans="1:11" x14ac:dyDescent="0.3">
      <c r="A35" t="s">
        <v>181</v>
      </c>
      <c r="B35" t="s">
        <v>338</v>
      </c>
      <c r="C35" t="s">
        <v>292</v>
      </c>
      <c r="D35" t="s">
        <v>293</v>
      </c>
      <c r="E35">
        <v>93.6</v>
      </c>
      <c r="F35">
        <v>186</v>
      </c>
      <c r="G35" t="s">
        <v>300</v>
      </c>
      <c r="H35" t="s">
        <v>301</v>
      </c>
      <c r="I35" s="6">
        <v>0.1</v>
      </c>
      <c r="J35">
        <v>1.5</v>
      </c>
      <c r="K35" t="s">
        <v>296</v>
      </c>
    </row>
    <row r="36" spans="1:11" x14ac:dyDescent="0.3">
      <c r="A36" t="s">
        <v>183</v>
      </c>
      <c r="B36" t="s">
        <v>339</v>
      </c>
      <c r="C36" t="s">
        <v>309</v>
      </c>
      <c r="D36" t="s">
        <v>293</v>
      </c>
      <c r="E36">
        <v>89.6</v>
      </c>
      <c r="F36">
        <v>170</v>
      </c>
      <c r="G36" t="s">
        <v>298</v>
      </c>
      <c r="H36" t="s">
        <v>295</v>
      </c>
      <c r="I36" s="6">
        <v>0.8</v>
      </c>
      <c r="J36">
        <v>3.75</v>
      </c>
      <c r="K36" t="s">
        <v>296</v>
      </c>
    </row>
    <row r="37" spans="1:11" x14ac:dyDescent="0.3">
      <c r="A37" t="s">
        <v>185</v>
      </c>
      <c r="B37" t="s">
        <v>340</v>
      </c>
      <c r="C37" t="s">
        <v>309</v>
      </c>
      <c r="D37" t="s">
        <v>293</v>
      </c>
      <c r="E37">
        <v>91</v>
      </c>
      <c r="F37">
        <v>183.4</v>
      </c>
      <c r="G37" t="s">
        <v>325</v>
      </c>
      <c r="H37" t="s">
        <v>295</v>
      </c>
      <c r="I37" s="6">
        <v>0.4</v>
      </c>
      <c r="J37">
        <v>0.75</v>
      </c>
      <c r="K37" t="s">
        <v>296</v>
      </c>
    </row>
    <row r="38" spans="1:11" x14ac:dyDescent="0.3">
      <c r="A38" t="s">
        <v>191</v>
      </c>
      <c r="B38" t="s">
        <v>341</v>
      </c>
      <c r="C38" t="s">
        <v>292</v>
      </c>
      <c r="D38" t="s">
        <v>293</v>
      </c>
      <c r="E38">
        <v>91</v>
      </c>
      <c r="F38">
        <v>187</v>
      </c>
      <c r="G38" t="s">
        <v>300</v>
      </c>
      <c r="H38" t="s">
        <v>301</v>
      </c>
      <c r="I38" s="6">
        <v>0.1</v>
      </c>
      <c r="J38">
        <v>1.5</v>
      </c>
      <c r="K38" t="s">
        <v>296</v>
      </c>
    </row>
    <row r="39" spans="1:11" x14ac:dyDescent="0.3">
      <c r="A39" t="s">
        <v>193</v>
      </c>
      <c r="B39" t="s">
        <v>342</v>
      </c>
      <c r="C39" t="s">
        <v>292</v>
      </c>
      <c r="D39" t="s">
        <v>293</v>
      </c>
      <c r="E39">
        <v>85.2</v>
      </c>
      <c r="F39">
        <v>174</v>
      </c>
      <c r="G39" t="s">
        <v>300</v>
      </c>
      <c r="H39" t="s">
        <v>301</v>
      </c>
      <c r="I39" s="6">
        <v>0</v>
      </c>
      <c r="J39">
        <v>0.75</v>
      </c>
      <c r="K39" t="s">
        <v>296</v>
      </c>
    </row>
    <row r="40" spans="1:11" x14ac:dyDescent="0.3">
      <c r="A40" t="s">
        <v>195</v>
      </c>
      <c r="B40" t="s">
        <v>343</v>
      </c>
      <c r="C40" t="s">
        <v>292</v>
      </c>
      <c r="D40" t="s">
        <v>293</v>
      </c>
      <c r="E40">
        <v>94.6</v>
      </c>
      <c r="F40">
        <v>194</v>
      </c>
      <c r="G40" t="s">
        <v>300</v>
      </c>
      <c r="H40" t="s">
        <v>301</v>
      </c>
      <c r="I40" s="6">
        <v>0.2</v>
      </c>
      <c r="J40">
        <v>0.25</v>
      </c>
      <c r="K40" t="s">
        <v>296</v>
      </c>
    </row>
    <row r="41" spans="1:11" x14ac:dyDescent="0.3">
      <c r="A41" t="s">
        <v>197</v>
      </c>
      <c r="B41" t="s">
        <v>344</v>
      </c>
      <c r="C41" t="s">
        <v>292</v>
      </c>
      <c r="D41" t="s">
        <v>293</v>
      </c>
      <c r="E41">
        <v>71.83</v>
      </c>
      <c r="F41">
        <v>140</v>
      </c>
      <c r="G41" t="s">
        <v>321</v>
      </c>
      <c r="H41" t="s">
        <v>295</v>
      </c>
      <c r="I41" s="6">
        <v>0.1</v>
      </c>
      <c r="J41">
        <v>1.5</v>
      </c>
      <c r="K41" t="s">
        <v>296</v>
      </c>
    </row>
    <row r="42" spans="1:11" x14ac:dyDescent="0.3">
      <c r="A42" t="s">
        <v>201</v>
      </c>
      <c r="B42" t="s">
        <v>345</v>
      </c>
      <c r="C42" t="s">
        <v>292</v>
      </c>
      <c r="D42" t="s">
        <v>293</v>
      </c>
      <c r="E42">
        <v>81.33</v>
      </c>
      <c r="F42">
        <v>153.5</v>
      </c>
      <c r="G42" t="s">
        <v>321</v>
      </c>
      <c r="H42" t="s">
        <v>295</v>
      </c>
      <c r="I42" s="6">
        <v>0.3</v>
      </c>
      <c r="J42">
        <v>1.5</v>
      </c>
      <c r="K42" t="s">
        <v>296</v>
      </c>
    </row>
    <row r="43" spans="1:11" x14ac:dyDescent="0.3">
      <c r="A43" t="s">
        <v>205</v>
      </c>
      <c r="B43" t="s">
        <v>346</v>
      </c>
      <c r="C43" t="s">
        <v>309</v>
      </c>
      <c r="D43" t="s">
        <v>293</v>
      </c>
      <c r="E43">
        <v>90.83</v>
      </c>
      <c r="F43">
        <v>182</v>
      </c>
      <c r="G43" t="s">
        <v>300</v>
      </c>
      <c r="H43" t="s">
        <v>301</v>
      </c>
      <c r="I43" s="6">
        <v>0.1</v>
      </c>
      <c r="J43">
        <v>0.75</v>
      </c>
      <c r="K43" t="s">
        <v>296</v>
      </c>
    </row>
    <row r="44" spans="1:11" x14ac:dyDescent="0.3">
      <c r="A44" t="s">
        <v>207</v>
      </c>
      <c r="B44" t="s">
        <v>347</v>
      </c>
      <c r="C44" t="s">
        <v>292</v>
      </c>
      <c r="D44" t="s">
        <v>293</v>
      </c>
      <c r="E44">
        <v>92.6</v>
      </c>
      <c r="F44">
        <v>183.5</v>
      </c>
      <c r="G44" t="s">
        <v>300</v>
      </c>
      <c r="H44" t="s">
        <v>301</v>
      </c>
      <c r="I44" s="6">
        <v>0.4</v>
      </c>
      <c r="J44">
        <v>0.75</v>
      </c>
      <c r="K44" t="s">
        <v>296</v>
      </c>
    </row>
    <row r="45" spans="1:11" x14ac:dyDescent="0.3">
      <c r="A45" t="s">
        <v>209</v>
      </c>
      <c r="B45" t="s">
        <v>348</v>
      </c>
      <c r="C45" t="s">
        <v>309</v>
      </c>
      <c r="D45" t="s">
        <v>293</v>
      </c>
      <c r="E45">
        <v>72.67</v>
      </c>
      <c r="F45">
        <v>131</v>
      </c>
      <c r="G45" t="s">
        <v>321</v>
      </c>
      <c r="H45" t="s">
        <v>295</v>
      </c>
      <c r="I45" s="6">
        <v>0.2</v>
      </c>
      <c r="J45">
        <v>11.25</v>
      </c>
      <c r="K45" t="s">
        <v>296</v>
      </c>
    </row>
    <row r="46" spans="1:11" x14ac:dyDescent="0.3">
      <c r="A46" t="s">
        <v>213</v>
      </c>
      <c r="B46" t="s">
        <v>349</v>
      </c>
      <c r="C46" t="s">
        <v>292</v>
      </c>
      <c r="D46" t="s">
        <v>293</v>
      </c>
      <c r="E46">
        <v>93.2</v>
      </c>
      <c r="F46">
        <v>191</v>
      </c>
      <c r="G46" t="s">
        <v>294</v>
      </c>
      <c r="H46" t="s">
        <v>295</v>
      </c>
      <c r="I46" s="6">
        <v>0.2</v>
      </c>
      <c r="J46">
        <v>2.25</v>
      </c>
      <c r="K46" t="s">
        <v>296</v>
      </c>
    </row>
    <row r="47" spans="1:11" x14ac:dyDescent="0.3">
      <c r="A47" t="s">
        <v>244</v>
      </c>
      <c r="B47" t="s">
        <v>350</v>
      </c>
      <c r="C47" t="s">
        <v>292</v>
      </c>
      <c r="D47" t="s">
        <v>293</v>
      </c>
      <c r="E47">
        <v>88.83</v>
      </c>
      <c r="F47">
        <v>165.5</v>
      </c>
      <c r="G47" t="s">
        <v>306</v>
      </c>
      <c r="H47" t="s">
        <v>295</v>
      </c>
      <c r="I47" s="6">
        <v>0.5</v>
      </c>
      <c r="J47">
        <v>24</v>
      </c>
      <c r="K47" t="s">
        <v>296</v>
      </c>
    </row>
    <row r="48" spans="1:11" x14ac:dyDescent="0.3">
      <c r="A48" t="s">
        <v>215</v>
      </c>
      <c r="B48" t="s">
        <v>351</v>
      </c>
      <c r="C48" t="s">
        <v>292</v>
      </c>
      <c r="D48" t="s">
        <v>293</v>
      </c>
      <c r="E48">
        <v>76.760000000000005</v>
      </c>
      <c r="F48">
        <v>152</v>
      </c>
      <c r="G48" t="s">
        <v>298</v>
      </c>
      <c r="H48" t="s">
        <v>301</v>
      </c>
      <c r="I48" s="6">
        <v>0.4</v>
      </c>
      <c r="J48">
        <v>19.5</v>
      </c>
      <c r="K48" t="s">
        <v>296</v>
      </c>
    </row>
    <row r="49" spans="1:11" x14ac:dyDescent="0.3">
      <c r="A49" t="s">
        <v>219</v>
      </c>
      <c r="B49" t="s">
        <v>352</v>
      </c>
      <c r="C49" t="s">
        <v>292</v>
      </c>
      <c r="D49" t="s">
        <v>293</v>
      </c>
      <c r="E49">
        <v>71.17</v>
      </c>
      <c r="F49">
        <v>115.5</v>
      </c>
      <c r="G49" t="s">
        <v>321</v>
      </c>
      <c r="H49" t="s">
        <v>295</v>
      </c>
      <c r="I49" s="6">
        <v>0.9</v>
      </c>
      <c r="J49">
        <v>3.75</v>
      </c>
      <c r="K49" t="s">
        <v>296</v>
      </c>
    </row>
    <row r="50" spans="1:11" x14ac:dyDescent="0.3">
      <c r="A50" t="s">
        <v>222</v>
      </c>
      <c r="B50" t="s">
        <v>353</v>
      </c>
      <c r="C50" t="s">
        <v>292</v>
      </c>
      <c r="D50" t="s">
        <v>293</v>
      </c>
      <c r="E50">
        <v>81</v>
      </c>
      <c r="F50">
        <v>167</v>
      </c>
      <c r="G50" t="s">
        <v>321</v>
      </c>
      <c r="H50" t="s">
        <v>295</v>
      </c>
      <c r="I50" s="6">
        <v>0.2</v>
      </c>
      <c r="J50">
        <v>4.5</v>
      </c>
      <c r="K50" t="s">
        <v>296</v>
      </c>
    </row>
    <row r="51" spans="1:11" x14ac:dyDescent="0.3">
      <c r="A51" t="s">
        <v>224</v>
      </c>
      <c r="B51" t="s">
        <v>354</v>
      </c>
      <c r="C51" t="s">
        <v>292</v>
      </c>
      <c r="D51" t="s">
        <v>293</v>
      </c>
      <c r="E51">
        <v>91.17</v>
      </c>
      <c r="F51">
        <v>187.5</v>
      </c>
      <c r="G51" t="s">
        <v>300</v>
      </c>
      <c r="H51" t="s">
        <v>301</v>
      </c>
      <c r="I51" s="6">
        <v>0.6</v>
      </c>
      <c r="J51">
        <v>7.5</v>
      </c>
      <c r="K51" t="s">
        <v>296</v>
      </c>
    </row>
    <row r="52" spans="1:11" x14ac:dyDescent="0.3">
      <c r="A52" t="s">
        <v>226</v>
      </c>
      <c r="B52" t="s">
        <v>355</v>
      </c>
      <c r="C52" t="s">
        <v>292</v>
      </c>
      <c r="D52" t="s">
        <v>293</v>
      </c>
      <c r="E52">
        <v>60.67</v>
      </c>
      <c r="F52">
        <v>104.5</v>
      </c>
      <c r="G52" t="s">
        <v>321</v>
      </c>
      <c r="H52" t="s">
        <v>295</v>
      </c>
      <c r="I52" s="6">
        <v>0.3</v>
      </c>
      <c r="J52">
        <v>0.75</v>
      </c>
      <c r="K52" t="s">
        <v>296</v>
      </c>
    </row>
    <row r="53" spans="1:11" x14ac:dyDescent="0.3">
      <c r="A53" t="s">
        <v>228</v>
      </c>
      <c r="B53" t="s">
        <v>356</v>
      </c>
      <c r="C53" t="s">
        <v>309</v>
      </c>
      <c r="D53" t="s">
        <v>293</v>
      </c>
      <c r="E53">
        <v>61.67</v>
      </c>
      <c r="F53">
        <v>112</v>
      </c>
      <c r="G53" t="s">
        <v>300</v>
      </c>
      <c r="H53" t="s">
        <v>301</v>
      </c>
      <c r="I53" s="6">
        <v>0.5</v>
      </c>
      <c r="J53">
        <v>3.75</v>
      </c>
      <c r="K53" t="s">
        <v>296</v>
      </c>
    </row>
    <row r="54" spans="1:11" x14ac:dyDescent="0.3">
      <c r="A54" t="s">
        <v>232</v>
      </c>
      <c r="B54" t="s">
        <v>357</v>
      </c>
      <c r="C54" t="s">
        <v>292</v>
      </c>
      <c r="D54" t="s">
        <v>293</v>
      </c>
      <c r="E54">
        <v>90.4</v>
      </c>
      <c r="F54">
        <v>186.5</v>
      </c>
      <c r="G54" t="s">
        <v>298</v>
      </c>
      <c r="H54" t="s">
        <v>301</v>
      </c>
      <c r="I54" s="6">
        <v>0.9</v>
      </c>
      <c r="J54">
        <v>9</v>
      </c>
      <c r="K54" t="s">
        <v>296</v>
      </c>
    </row>
    <row r="55" spans="1:11" x14ac:dyDescent="0.3">
      <c r="A55" t="s">
        <v>234</v>
      </c>
      <c r="B55" t="s">
        <v>358</v>
      </c>
      <c r="C55" t="s">
        <v>292</v>
      </c>
      <c r="D55" t="s">
        <v>293</v>
      </c>
      <c r="E55">
        <v>51.17</v>
      </c>
      <c r="F55">
        <v>90</v>
      </c>
      <c r="G55" t="s">
        <v>321</v>
      </c>
      <c r="H55" t="s">
        <v>295</v>
      </c>
      <c r="I55" s="6">
        <v>0.4</v>
      </c>
      <c r="J55">
        <v>0.75</v>
      </c>
      <c r="K55" t="s">
        <v>296</v>
      </c>
    </row>
    <row r="56" spans="1:11" x14ac:dyDescent="0.3">
      <c r="A56" t="s">
        <v>238</v>
      </c>
      <c r="B56" t="s">
        <v>359</v>
      </c>
      <c r="C56" t="s">
        <v>292</v>
      </c>
      <c r="D56" t="s">
        <v>293</v>
      </c>
      <c r="E56">
        <v>62.2</v>
      </c>
      <c r="F56">
        <v>120</v>
      </c>
      <c r="G56" t="s">
        <v>298</v>
      </c>
      <c r="H56" t="s">
        <v>295</v>
      </c>
      <c r="I56" s="6">
        <v>0.8</v>
      </c>
      <c r="J56">
        <v>3.75</v>
      </c>
      <c r="K56" t="s">
        <v>296</v>
      </c>
    </row>
    <row r="57" spans="1:11" x14ac:dyDescent="0.3">
      <c r="A57" t="s">
        <v>240</v>
      </c>
      <c r="B57" t="s">
        <v>360</v>
      </c>
      <c r="C57" t="s">
        <v>292</v>
      </c>
      <c r="D57" t="s">
        <v>293</v>
      </c>
      <c r="E57">
        <v>91.17</v>
      </c>
      <c r="F57">
        <v>174</v>
      </c>
      <c r="G57" t="s">
        <v>300</v>
      </c>
      <c r="H57" t="s">
        <v>301</v>
      </c>
      <c r="I57" s="6">
        <v>0.1</v>
      </c>
      <c r="J57">
        <v>1.5</v>
      </c>
      <c r="K57" t="s">
        <v>296</v>
      </c>
    </row>
    <row r="58" spans="1:11" x14ac:dyDescent="0.3">
      <c r="A58" t="s">
        <v>242</v>
      </c>
      <c r="B58" t="s">
        <v>361</v>
      </c>
      <c r="C58" t="s">
        <v>309</v>
      </c>
      <c r="D58" t="s">
        <v>293</v>
      </c>
      <c r="E58">
        <v>86</v>
      </c>
      <c r="F58">
        <v>178.5</v>
      </c>
      <c r="G58" t="s">
        <v>300</v>
      </c>
      <c r="H58" t="s">
        <v>301</v>
      </c>
      <c r="I58" s="6">
        <v>0.1</v>
      </c>
      <c r="J58">
        <v>0.25</v>
      </c>
      <c r="K58" t="s">
        <v>296</v>
      </c>
    </row>
    <row r="59" spans="1:11" x14ac:dyDescent="0.3">
      <c r="A59" t="s">
        <v>248</v>
      </c>
      <c r="B59" t="s">
        <v>362</v>
      </c>
      <c r="C59" t="s">
        <v>292</v>
      </c>
      <c r="D59" t="s">
        <v>293</v>
      </c>
      <c r="E59">
        <v>81.430000000000007</v>
      </c>
      <c r="F59">
        <v>159.5</v>
      </c>
      <c r="G59" t="s">
        <v>321</v>
      </c>
      <c r="H59" t="s">
        <v>295</v>
      </c>
      <c r="I59" s="6">
        <v>0.2</v>
      </c>
      <c r="J59">
        <v>0.75</v>
      </c>
      <c r="K59" t="s">
        <v>296</v>
      </c>
    </row>
    <row r="60" spans="1:11" x14ac:dyDescent="0.3">
      <c r="A60" t="s">
        <v>250</v>
      </c>
      <c r="B60" t="s">
        <v>363</v>
      </c>
      <c r="C60" t="s">
        <v>292</v>
      </c>
      <c r="D60" t="s">
        <v>293</v>
      </c>
      <c r="E60">
        <v>80.83</v>
      </c>
      <c r="F60">
        <v>145.5</v>
      </c>
      <c r="G60" t="s">
        <v>321</v>
      </c>
      <c r="H60" t="s">
        <v>295</v>
      </c>
      <c r="I60" s="6">
        <v>0.1</v>
      </c>
      <c r="J60">
        <v>3.75</v>
      </c>
      <c r="K60" t="s">
        <v>296</v>
      </c>
    </row>
    <row r="61" spans="1:11" x14ac:dyDescent="0.3">
      <c r="A61" t="s">
        <v>252</v>
      </c>
      <c r="B61" t="s">
        <v>364</v>
      </c>
      <c r="C61" t="s">
        <v>309</v>
      </c>
      <c r="D61" t="s">
        <v>293</v>
      </c>
      <c r="E61">
        <v>87</v>
      </c>
      <c r="F61">
        <v>186</v>
      </c>
      <c r="G61" t="s">
        <v>300</v>
      </c>
      <c r="H61" t="s">
        <v>301</v>
      </c>
      <c r="I61" s="6">
        <v>0.2</v>
      </c>
      <c r="J61">
        <v>0.75</v>
      </c>
      <c r="K61" t="s">
        <v>296</v>
      </c>
    </row>
    <row r="62" spans="1:11" x14ac:dyDescent="0.3">
      <c r="A62" t="s">
        <v>256</v>
      </c>
      <c r="B62" t="s">
        <v>365</v>
      </c>
      <c r="C62" t="s">
        <v>292</v>
      </c>
      <c r="D62" t="s">
        <v>293</v>
      </c>
      <c r="E62">
        <v>90.83</v>
      </c>
      <c r="F62">
        <v>180.5</v>
      </c>
      <c r="G62" t="s">
        <v>300</v>
      </c>
      <c r="H62" t="s">
        <v>301</v>
      </c>
      <c r="I62" s="6">
        <v>0</v>
      </c>
      <c r="J62">
        <v>0.75</v>
      </c>
      <c r="K62" t="s">
        <v>296</v>
      </c>
    </row>
    <row r="63" spans="1:11" x14ac:dyDescent="0.3">
      <c r="A63" t="s">
        <v>258</v>
      </c>
      <c r="B63" t="s">
        <v>366</v>
      </c>
      <c r="C63" t="s">
        <v>292</v>
      </c>
      <c r="D63" t="s">
        <v>293</v>
      </c>
      <c r="E63">
        <v>89.5</v>
      </c>
      <c r="F63">
        <v>187.5</v>
      </c>
      <c r="G63" t="s">
        <v>300</v>
      </c>
      <c r="H63" t="s">
        <v>301</v>
      </c>
      <c r="I63" s="6">
        <v>0.3</v>
      </c>
      <c r="J63">
        <v>2.25</v>
      </c>
      <c r="K63" t="s">
        <v>296</v>
      </c>
    </row>
    <row r="64" spans="1:11" x14ac:dyDescent="0.3">
      <c r="A64" t="s">
        <v>260</v>
      </c>
      <c r="B64" t="s">
        <v>367</v>
      </c>
      <c r="C64" t="s">
        <v>292</v>
      </c>
      <c r="D64" t="s">
        <v>293</v>
      </c>
      <c r="E64">
        <v>74.599999999999994</v>
      </c>
      <c r="F64">
        <v>137</v>
      </c>
      <c r="G64" t="s">
        <v>327</v>
      </c>
      <c r="H64" t="s">
        <v>295</v>
      </c>
      <c r="I64" s="6">
        <v>0.4</v>
      </c>
      <c r="J64">
        <v>3.75</v>
      </c>
      <c r="K64" t="s">
        <v>296</v>
      </c>
    </row>
    <row r="65" spans="1:11" x14ac:dyDescent="0.3">
      <c r="A65" t="s">
        <v>262</v>
      </c>
      <c r="B65" t="s">
        <v>368</v>
      </c>
      <c r="C65" t="s">
        <v>292</v>
      </c>
      <c r="D65" t="s">
        <v>293</v>
      </c>
      <c r="E65">
        <v>76.599999999999994</v>
      </c>
      <c r="F65">
        <v>145.5</v>
      </c>
      <c r="G65" t="s">
        <v>300</v>
      </c>
      <c r="H65" t="s">
        <v>301</v>
      </c>
      <c r="I65" s="6">
        <v>0.2</v>
      </c>
      <c r="J65">
        <v>1.5</v>
      </c>
      <c r="K65" t="s">
        <v>296</v>
      </c>
    </row>
    <row r="66" spans="1:11" x14ac:dyDescent="0.3">
      <c r="A66" t="s">
        <v>266</v>
      </c>
      <c r="B66" t="s">
        <v>369</v>
      </c>
      <c r="C66" t="s">
        <v>309</v>
      </c>
      <c r="D66" t="s">
        <v>293</v>
      </c>
      <c r="E66">
        <v>93.5</v>
      </c>
      <c r="F66">
        <v>183.5</v>
      </c>
      <c r="G66" t="s">
        <v>300</v>
      </c>
      <c r="H66" t="s">
        <v>301</v>
      </c>
      <c r="I66" s="6">
        <v>0</v>
      </c>
      <c r="J66">
        <v>0.25</v>
      </c>
      <c r="K66" t="s">
        <v>296</v>
      </c>
    </row>
    <row r="67" spans="1:11" x14ac:dyDescent="0.3">
      <c r="A67" t="s">
        <v>270</v>
      </c>
      <c r="B67" t="s">
        <v>370</v>
      </c>
      <c r="C67" t="s">
        <v>292</v>
      </c>
      <c r="D67" t="s">
        <v>293</v>
      </c>
      <c r="E67">
        <v>92.4</v>
      </c>
      <c r="F67">
        <v>191</v>
      </c>
      <c r="G67" t="s">
        <v>300</v>
      </c>
      <c r="H67" t="s">
        <v>301</v>
      </c>
      <c r="I67" s="6">
        <v>0.2</v>
      </c>
      <c r="J67">
        <v>0.75</v>
      </c>
      <c r="K67" t="s">
        <v>296</v>
      </c>
    </row>
    <row r="68" spans="1:11" x14ac:dyDescent="0.3">
      <c r="A68" t="s">
        <v>272</v>
      </c>
      <c r="B68" t="s">
        <v>371</v>
      </c>
      <c r="C68" t="s">
        <v>292</v>
      </c>
      <c r="D68" t="s">
        <v>293</v>
      </c>
      <c r="E68">
        <v>92.2</v>
      </c>
      <c r="F68">
        <v>185</v>
      </c>
      <c r="G68" t="s">
        <v>300</v>
      </c>
      <c r="H68" t="s">
        <v>301</v>
      </c>
      <c r="I68" s="6">
        <v>0.6</v>
      </c>
      <c r="J68">
        <v>1</v>
      </c>
      <c r="K68" t="s">
        <v>296</v>
      </c>
    </row>
    <row r="69" spans="1:11" x14ac:dyDescent="0.3">
      <c r="A69" t="s">
        <v>153</v>
      </c>
      <c r="B69" t="s">
        <v>154</v>
      </c>
      <c r="C69" t="s">
        <v>292</v>
      </c>
      <c r="D69" t="s">
        <v>293</v>
      </c>
      <c r="H69" s="7" t="s">
        <v>295</v>
      </c>
      <c r="I69" s="6">
        <v>0</v>
      </c>
      <c r="K69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C8BC-99F2-4AB0-97AA-72B97A404B93}">
  <dimension ref="A1:O1350"/>
  <sheetViews>
    <sheetView tabSelected="1" workbookViewId="0">
      <selection activeCell="C17" sqref="C17"/>
    </sheetView>
  </sheetViews>
  <sheetFormatPr defaultRowHeight="14.4" x14ac:dyDescent="0.3"/>
  <cols>
    <col min="1" max="1" width="21.109375" bestFit="1" customWidth="1"/>
    <col min="2" max="2" width="16.88671875" customWidth="1"/>
    <col min="3" max="3" width="21.88671875" bestFit="1" customWidth="1"/>
    <col min="4" max="4" width="9.44140625" customWidth="1"/>
    <col min="5" max="5" width="13.44140625" customWidth="1"/>
    <col min="6" max="6" width="60.44140625" bestFit="1" customWidth="1"/>
    <col min="7" max="7" width="14.33203125" customWidth="1"/>
    <col min="8" max="8" width="14.5546875" customWidth="1"/>
    <col min="9" max="9" width="12" customWidth="1"/>
    <col min="10" max="10" width="19" bestFit="1" customWidth="1"/>
    <col min="11" max="11" width="8" customWidth="1"/>
    <col min="12" max="12" width="12.44140625" bestFit="1" customWidth="1"/>
    <col min="13" max="13" width="5" customWidth="1"/>
    <col min="14" max="14" width="13.5546875" customWidth="1"/>
    <col min="15" max="15" width="11.77734375" bestFit="1" customWidth="1"/>
    <col min="16" max="16" width="11.5546875" bestFit="1" customWidth="1"/>
    <col min="17" max="17" width="63" bestFit="1" customWidth="1"/>
    <col min="18" max="18" width="12.44140625" bestFit="1" customWidth="1"/>
    <col min="19" max="19" width="12.6640625" bestFit="1" customWidth="1"/>
    <col min="20" max="20" width="10.109375" bestFit="1" customWidth="1"/>
    <col min="21" max="21" width="6.109375" bestFit="1" customWidth="1"/>
    <col min="22" max="23" width="3.109375" bestFit="1" customWidth="1"/>
    <col min="24" max="24" width="11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</v>
      </c>
      <c r="E2" t="s">
        <v>18</v>
      </c>
      <c r="F2" t="s">
        <v>19</v>
      </c>
      <c r="G2">
        <v>38</v>
      </c>
      <c r="H2">
        <v>31</v>
      </c>
      <c r="I2">
        <v>69</v>
      </c>
      <c r="J2">
        <f t="shared" ref="J2:J65" si="0">IF(H2=0,0,G2-H2)</f>
        <v>7</v>
      </c>
      <c r="K2" t="s">
        <v>20</v>
      </c>
      <c r="L2">
        <f t="shared" ref="L2:L65" si="1">IF(K2="Pass",1,0)</f>
        <v>1</v>
      </c>
      <c r="M2">
        <v>7</v>
      </c>
      <c r="N2">
        <v>4</v>
      </c>
      <c r="O2">
        <f t="shared" ref="O2:O65" si="2">IF(H2=0,0,1)</f>
        <v>1</v>
      </c>
    </row>
    <row r="3" spans="1:15" x14ac:dyDescent="0.3">
      <c r="A3" t="s">
        <v>15</v>
      </c>
      <c r="B3" t="s">
        <v>16</v>
      </c>
      <c r="C3" t="s">
        <v>17</v>
      </c>
      <c r="D3">
        <v>2</v>
      </c>
      <c r="E3" t="s">
        <v>21</v>
      </c>
      <c r="F3" t="s">
        <v>22</v>
      </c>
      <c r="G3">
        <v>39</v>
      </c>
      <c r="H3">
        <v>26</v>
      </c>
      <c r="I3">
        <v>65</v>
      </c>
      <c r="J3">
        <f t="shared" si="0"/>
        <v>13</v>
      </c>
      <c r="K3" t="s">
        <v>20</v>
      </c>
      <c r="L3">
        <f t="shared" si="1"/>
        <v>1</v>
      </c>
      <c r="M3">
        <v>7</v>
      </c>
      <c r="N3">
        <v>4</v>
      </c>
      <c r="O3">
        <f t="shared" si="2"/>
        <v>1</v>
      </c>
    </row>
    <row r="4" spans="1:15" x14ac:dyDescent="0.3">
      <c r="A4" t="s">
        <v>15</v>
      </c>
      <c r="B4" t="s">
        <v>16</v>
      </c>
      <c r="C4" t="s">
        <v>17</v>
      </c>
      <c r="D4">
        <v>2</v>
      </c>
      <c r="E4" t="s">
        <v>23</v>
      </c>
      <c r="F4" t="s">
        <v>24</v>
      </c>
      <c r="G4">
        <v>82</v>
      </c>
      <c r="H4">
        <v>0</v>
      </c>
      <c r="I4">
        <v>82</v>
      </c>
      <c r="J4">
        <f t="shared" si="0"/>
        <v>0</v>
      </c>
      <c r="K4" t="s">
        <v>20</v>
      </c>
      <c r="L4">
        <f t="shared" si="1"/>
        <v>1</v>
      </c>
      <c r="M4">
        <v>9</v>
      </c>
      <c r="N4">
        <v>1</v>
      </c>
      <c r="O4">
        <f t="shared" si="2"/>
        <v>0</v>
      </c>
    </row>
    <row r="5" spans="1:15" x14ac:dyDescent="0.3">
      <c r="A5" t="s">
        <v>15</v>
      </c>
      <c r="B5" t="s">
        <v>16</v>
      </c>
      <c r="C5" t="s">
        <v>17</v>
      </c>
      <c r="D5">
        <v>2</v>
      </c>
      <c r="E5" t="s">
        <v>25</v>
      </c>
      <c r="F5" t="s">
        <v>26</v>
      </c>
      <c r="G5">
        <v>31</v>
      </c>
      <c r="H5">
        <v>25</v>
      </c>
      <c r="I5">
        <v>56</v>
      </c>
      <c r="J5">
        <f t="shared" si="0"/>
        <v>6</v>
      </c>
      <c r="K5" t="s">
        <v>20</v>
      </c>
      <c r="L5">
        <f t="shared" si="1"/>
        <v>1</v>
      </c>
      <c r="M5">
        <v>6</v>
      </c>
      <c r="N5">
        <v>1</v>
      </c>
      <c r="O5">
        <f t="shared" si="2"/>
        <v>1</v>
      </c>
    </row>
    <row r="6" spans="1:15" x14ac:dyDescent="0.3">
      <c r="A6" t="s">
        <v>15</v>
      </c>
      <c r="B6" t="s">
        <v>16</v>
      </c>
      <c r="C6" t="s">
        <v>17</v>
      </c>
      <c r="D6">
        <v>2</v>
      </c>
      <c r="E6" t="s">
        <v>27</v>
      </c>
      <c r="F6" t="s">
        <v>28</v>
      </c>
      <c r="G6">
        <v>28</v>
      </c>
      <c r="H6">
        <v>28</v>
      </c>
      <c r="I6">
        <v>56</v>
      </c>
      <c r="J6">
        <f t="shared" si="0"/>
        <v>0</v>
      </c>
      <c r="K6" t="s">
        <v>20</v>
      </c>
      <c r="L6">
        <f t="shared" si="1"/>
        <v>1</v>
      </c>
      <c r="M6">
        <v>6</v>
      </c>
      <c r="N6">
        <v>2</v>
      </c>
      <c r="O6">
        <f t="shared" si="2"/>
        <v>1</v>
      </c>
    </row>
    <row r="7" spans="1:15" x14ac:dyDescent="0.3">
      <c r="A7" t="s">
        <v>15</v>
      </c>
      <c r="B7" t="s">
        <v>16</v>
      </c>
      <c r="C7" t="s">
        <v>17</v>
      </c>
      <c r="D7">
        <v>2</v>
      </c>
      <c r="E7" t="s">
        <v>29</v>
      </c>
      <c r="F7" t="s">
        <v>30</v>
      </c>
      <c r="G7">
        <v>68</v>
      </c>
      <c r="H7">
        <v>0</v>
      </c>
      <c r="I7">
        <v>68</v>
      </c>
      <c r="J7">
        <f t="shared" si="0"/>
        <v>0</v>
      </c>
      <c r="K7" t="s">
        <v>20</v>
      </c>
      <c r="L7">
        <f t="shared" si="1"/>
        <v>1</v>
      </c>
      <c r="M7">
        <v>7</v>
      </c>
      <c r="N7">
        <v>1</v>
      </c>
      <c r="O7">
        <f t="shared" si="2"/>
        <v>0</v>
      </c>
    </row>
    <row r="8" spans="1:15" x14ac:dyDescent="0.3">
      <c r="A8" t="s">
        <v>15</v>
      </c>
      <c r="B8" t="s">
        <v>16</v>
      </c>
      <c r="C8" t="s">
        <v>17</v>
      </c>
      <c r="D8">
        <v>2</v>
      </c>
      <c r="E8" t="s">
        <v>31</v>
      </c>
      <c r="F8" t="s">
        <v>32</v>
      </c>
      <c r="G8">
        <v>94</v>
      </c>
      <c r="H8">
        <v>0</v>
      </c>
      <c r="I8">
        <v>94</v>
      </c>
      <c r="J8">
        <f t="shared" si="0"/>
        <v>0</v>
      </c>
      <c r="K8" t="s">
        <v>20</v>
      </c>
      <c r="L8">
        <f t="shared" si="1"/>
        <v>1</v>
      </c>
      <c r="M8">
        <v>10</v>
      </c>
      <c r="N8">
        <v>1</v>
      </c>
      <c r="O8">
        <f t="shared" si="2"/>
        <v>0</v>
      </c>
    </row>
    <row r="9" spans="1:15" x14ac:dyDescent="0.3">
      <c r="A9" t="s">
        <v>15</v>
      </c>
      <c r="B9" t="s">
        <v>16</v>
      </c>
      <c r="C9" t="s">
        <v>17</v>
      </c>
      <c r="D9">
        <v>2</v>
      </c>
      <c r="E9" t="s">
        <v>33</v>
      </c>
      <c r="F9" t="s">
        <v>34</v>
      </c>
      <c r="G9">
        <v>35</v>
      </c>
      <c r="H9">
        <v>26</v>
      </c>
      <c r="I9">
        <v>61</v>
      </c>
      <c r="J9">
        <f t="shared" si="0"/>
        <v>9</v>
      </c>
      <c r="K9" t="s">
        <v>20</v>
      </c>
      <c r="L9">
        <f t="shared" si="1"/>
        <v>1</v>
      </c>
      <c r="M9">
        <v>7</v>
      </c>
      <c r="N9">
        <v>4</v>
      </c>
      <c r="O9">
        <f t="shared" si="2"/>
        <v>1</v>
      </c>
    </row>
    <row r="10" spans="1:15" x14ac:dyDescent="0.3">
      <c r="A10" t="s">
        <v>15</v>
      </c>
      <c r="B10" t="s">
        <v>16</v>
      </c>
      <c r="C10" t="s">
        <v>17</v>
      </c>
      <c r="D10">
        <v>2</v>
      </c>
      <c r="E10" t="s">
        <v>35</v>
      </c>
      <c r="F10" t="s">
        <v>36</v>
      </c>
      <c r="G10">
        <v>21</v>
      </c>
      <c r="H10">
        <v>30</v>
      </c>
      <c r="I10">
        <v>51</v>
      </c>
      <c r="J10">
        <f t="shared" si="0"/>
        <v>-9</v>
      </c>
      <c r="K10" t="s">
        <v>20</v>
      </c>
      <c r="L10">
        <f t="shared" si="1"/>
        <v>1</v>
      </c>
      <c r="M10">
        <v>5</v>
      </c>
      <c r="N10">
        <v>3</v>
      </c>
      <c r="O10">
        <f t="shared" si="2"/>
        <v>1</v>
      </c>
    </row>
    <row r="11" spans="1:15" x14ac:dyDescent="0.3">
      <c r="A11" t="s">
        <v>15</v>
      </c>
      <c r="B11" t="s">
        <v>16</v>
      </c>
      <c r="C11" t="s">
        <v>17</v>
      </c>
      <c r="D11">
        <v>2</v>
      </c>
      <c r="E11" t="s">
        <v>37</v>
      </c>
      <c r="F11" t="s">
        <v>38</v>
      </c>
      <c r="G11">
        <v>27</v>
      </c>
      <c r="H11">
        <v>37</v>
      </c>
      <c r="I11">
        <v>64</v>
      </c>
      <c r="J11">
        <f t="shared" si="0"/>
        <v>-10</v>
      </c>
      <c r="K11" t="s">
        <v>20</v>
      </c>
      <c r="L11">
        <f t="shared" si="1"/>
        <v>1</v>
      </c>
      <c r="M11">
        <v>7</v>
      </c>
      <c r="N11">
        <v>3</v>
      </c>
      <c r="O11">
        <f t="shared" si="2"/>
        <v>1</v>
      </c>
    </row>
    <row r="12" spans="1:15" x14ac:dyDescent="0.3">
      <c r="A12" t="s">
        <v>15</v>
      </c>
      <c r="B12" t="s">
        <v>16</v>
      </c>
      <c r="C12" t="s">
        <v>17</v>
      </c>
      <c r="D12">
        <v>1</v>
      </c>
      <c r="E12" t="s">
        <v>39</v>
      </c>
      <c r="F12" t="s">
        <v>40</v>
      </c>
      <c r="G12">
        <v>91</v>
      </c>
      <c r="H12">
        <v>0</v>
      </c>
      <c r="I12">
        <v>91</v>
      </c>
      <c r="J12">
        <f t="shared" si="0"/>
        <v>0</v>
      </c>
      <c r="K12" t="s">
        <v>20</v>
      </c>
      <c r="L12">
        <f t="shared" si="1"/>
        <v>1</v>
      </c>
      <c r="M12">
        <v>10</v>
      </c>
      <c r="N12">
        <v>1</v>
      </c>
      <c r="O12">
        <f t="shared" si="2"/>
        <v>0</v>
      </c>
    </row>
    <row r="13" spans="1:15" x14ac:dyDescent="0.3">
      <c r="A13" t="s">
        <v>15</v>
      </c>
      <c r="B13" t="s">
        <v>16</v>
      </c>
      <c r="C13" t="s">
        <v>17</v>
      </c>
      <c r="D13">
        <v>1</v>
      </c>
      <c r="E13" t="s">
        <v>41</v>
      </c>
      <c r="F13" t="s">
        <v>42</v>
      </c>
      <c r="G13">
        <v>24</v>
      </c>
      <c r="H13">
        <v>30</v>
      </c>
      <c r="I13">
        <v>54</v>
      </c>
      <c r="J13">
        <f t="shared" si="0"/>
        <v>-6</v>
      </c>
      <c r="K13" t="s">
        <v>20</v>
      </c>
      <c r="L13">
        <f t="shared" si="1"/>
        <v>1</v>
      </c>
      <c r="M13">
        <v>7</v>
      </c>
      <c r="N13">
        <v>3</v>
      </c>
      <c r="O13">
        <f t="shared" si="2"/>
        <v>1</v>
      </c>
    </row>
    <row r="14" spans="1:15" x14ac:dyDescent="0.3">
      <c r="A14" t="s">
        <v>15</v>
      </c>
      <c r="B14" t="s">
        <v>16</v>
      </c>
      <c r="C14" t="s">
        <v>17</v>
      </c>
      <c r="D14">
        <v>1</v>
      </c>
      <c r="E14" t="s">
        <v>43</v>
      </c>
      <c r="F14" t="s">
        <v>44</v>
      </c>
      <c r="G14">
        <v>66</v>
      </c>
      <c r="H14">
        <v>0</v>
      </c>
      <c r="I14">
        <v>66</v>
      </c>
      <c r="J14">
        <f t="shared" si="0"/>
        <v>0</v>
      </c>
      <c r="K14" t="s">
        <v>20</v>
      </c>
      <c r="L14">
        <f t="shared" si="1"/>
        <v>1</v>
      </c>
      <c r="M14">
        <v>7</v>
      </c>
      <c r="N14">
        <v>1</v>
      </c>
      <c r="O14">
        <f t="shared" si="2"/>
        <v>0</v>
      </c>
    </row>
    <row r="15" spans="1:15" x14ac:dyDescent="0.3">
      <c r="A15" t="s">
        <v>15</v>
      </c>
      <c r="B15" t="s">
        <v>16</v>
      </c>
      <c r="C15" t="s">
        <v>17</v>
      </c>
      <c r="D15">
        <v>1</v>
      </c>
      <c r="E15" t="s">
        <v>45</v>
      </c>
      <c r="F15" t="s">
        <v>46</v>
      </c>
      <c r="G15">
        <v>25</v>
      </c>
      <c r="H15">
        <v>33</v>
      </c>
      <c r="I15">
        <v>58</v>
      </c>
      <c r="J15">
        <f t="shared" si="0"/>
        <v>-8</v>
      </c>
      <c r="K15" t="s">
        <v>20</v>
      </c>
      <c r="L15">
        <f t="shared" si="1"/>
        <v>1</v>
      </c>
      <c r="M15">
        <v>6</v>
      </c>
      <c r="N15">
        <v>1</v>
      </c>
      <c r="O15">
        <f t="shared" si="2"/>
        <v>1</v>
      </c>
    </row>
    <row r="16" spans="1:15" x14ac:dyDescent="0.3">
      <c r="A16" t="s">
        <v>15</v>
      </c>
      <c r="B16" t="s">
        <v>16</v>
      </c>
      <c r="C16" t="s">
        <v>17</v>
      </c>
      <c r="D16">
        <v>1</v>
      </c>
      <c r="E16" t="s">
        <v>47</v>
      </c>
      <c r="F16" t="s">
        <v>48</v>
      </c>
      <c r="G16">
        <v>60</v>
      </c>
      <c r="H16">
        <v>0</v>
      </c>
      <c r="I16">
        <v>60</v>
      </c>
      <c r="J16">
        <f t="shared" si="0"/>
        <v>0</v>
      </c>
      <c r="K16" t="s">
        <v>20</v>
      </c>
      <c r="L16">
        <f t="shared" si="1"/>
        <v>1</v>
      </c>
      <c r="M16">
        <v>6</v>
      </c>
      <c r="N16">
        <v>1</v>
      </c>
      <c r="O16">
        <f t="shared" si="2"/>
        <v>0</v>
      </c>
    </row>
    <row r="17" spans="1:15" x14ac:dyDescent="0.3">
      <c r="A17" t="s">
        <v>15</v>
      </c>
      <c r="B17" t="s">
        <v>16</v>
      </c>
      <c r="C17" t="s">
        <v>17</v>
      </c>
      <c r="D17">
        <v>1</v>
      </c>
      <c r="E17" t="s">
        <v>49</v>
      </c>
      <c r="F17" t="s">
        <v>50</v>
      </c>
      <c r="G17">
        <v>90</v>
      </c>
      <c r="H17">
        <v>0</v>
      </c>
      <c r="I17">
        <v>90</v>
      </c>
      <c r="J17">
        <f t="shared" si="0"/>
        <v>0</v>
      </c>
      <c r="K17" t="s">
        <v>20</v>
      </c>
      <c r="L17">
        <f t="shared" si="1"/>
        <v>1</v>
      </c>
      <c r="M17">
        <v>9</v>
      </c>
      <c r="N17">
        <v>1</v>
      </c>
      <c r="O17">
        <f t="shared" si="2"/>
        <v>0</v>
      </c>
    </row>
    <row r="18" spans="1:15" x14ac:dyDescent="0.3">
      <c r="A18" t="s">
        <v>15</v>
      </c>
      <c r="B18" t="s">
        <v>16</v>
      </c>
      <c r="C18" t="s">
        <v>17</v>
      </c>
      <c r="D18">
        <v>1</v>
      </c>
      <c r="E18" t="s">
        <v>51</v>
      </c>
      <c r="F18" t="s">
        <v>52</v>
      </c>
      <c r="G18">
        <v>80</v>
      </c>
      <c r="H18">
        <v>0</v>
      </c>
      <c r="I18">
        <v>80</v>
      </c>
      <c r="J18">
        <f t="shared" si="0"/>
        <v>0</v>
      </c>
      <c r="K18" t="s">
        <v>20</v>
      </c>
      <c r="L18">
        <f t="shared" si="1"/>
        <v>1</v>
      </c>
      <c r="M18">
        <v>8</v>
      </c>
      <c r="N18">
        <v>1</v>
      </c>
      <c r="O18">
        <f t="shared" si="2"/>
        <v>0</v>
      </c>
    </row>
    <row r="19" spans="1:15" x14ac:dyDescent="0.3">
      <c r="A19" t="s">
        <v>15</v>
      </c>
      <c r="B19" t="s">
        <v>16</v>
      </c>
      <c r="C19" t="s">
        <v>17</v>
      </c>
      <c r="D19">
        <v>1</v>
      </c>
      <c r="E19" t="s">
        <v>53</v>
      </c>
      <c r="F19" t="s">
        <v>54</v>
      </c>
      <c r="G19">
        <v>39</v>
      </c>
      <c r="H19">
        <v>37</v>
      </c>
      <c r="I19">
        <v>76</v>
      </c>
      <c r="J19">
        <f t="shared" si="0"/>
        <v>2</v>
      </c>
      <c r="K19" t="s">
        <v>20</v>
      </c>
      <c r="L19">
        <f t="shared" si="1"/>
        <v>1</v>
      </c>
      <c r="M19">
        <v>8</v>
      </c>
      <c r="N19">
        <v>4</v>
      </c>
      <c r="O19">
        <f t="shared" si="2"/>
        <v>1</v>
      </c>
    </row>
    <row r="20" spans="1:15" x14ac:dyDescent="0.3">
      <c r="A20" t="s">
        <v>15</v>
      </c>
      <c r="B20" t="s">
        <v>16</v>
      </c>
      <c r="C20" t="s">
        <v>17</v>
      </c>
      <c r="D20">
        <v>1</v>
      </c>
      <c r="E20" t="s">
        <v>55</v>
      </c>
      <c r="F20" t="s">
        <v>56</v>
      </c>
      <c r="G20">
        <v>35</v>
      </c>
      <c r="H20">
        <v>41</v>
      </c>
      <c r="I20">
        <v>76</v>
      </c>
      <c r="J20">
        <f t="shared" si="0"/>
        <v>-6</v>
      </c>
      <c r="K20" t="s">
        <v>20</v>
      </c>
      <c r="L20">
        <f t="shared" si="1"/>
        <v>1</v>
      </c>
      <c r="M20">
        <v>8</v>
      </c>
      <c r="N20">
        <v>3</v>
      </c>
      <c r="O20">
        <f t="shared" si="2"/>
        <v>1</v>
      </c>
    </row>
    <row r="21" spans="1:15" x14ac:dyDescent="0.3">
      <c r="A21" t="s">
        <v>15</v>
      </c>
      <c r="B21" t="s">
        <v>16</v>
      </c>
      <c r="C21" t="s">
        <v>17</v>
      </c>
      <c r="D21">
        <v>1</v>
      </c>
      <c r="E21" t="s">
        <v>57</v>
      </c>
      <c r="F21" t="s">
        <v>58</v>
      </c>
      <c r="G21">
        <v>35</v>
      </c>
      <c r="H21">
        <v>25</v>
      </c>
      <c r="I21">
        <v>60</v>
      </c>
      <c r="J21">
        <f t="shared" si="0"/>
        <v>10</v>
      </c>
      <c r="K21" t="s">
        <v>20</v>
      </c>
      <c r="L21">
        <f t="shared" si="1"/>
        <v>1</v>
      </c>
      <c r="M21">
        <v>7</v>
      </c>
      <c r="N21">
        <v>4</v>
      </c>
      <c r="O21">
        <f t="shared" si="2"/>
        <v>1</v>
      </c>
    </row>
    <row r="22" spans="1:15" x14ac:dyDescent="0.3">
      <c r="A22" t="s">
        <v>15</v>
      </c>
      <c r="B22" t="s">
        <v>59</v>
      </c>
      <c r="C22" t="s">
        <v>60</v>
      </c>
      <c r="D22">
        <v>2</v>
      </c>
      <c r="E22" t="s">
        <v>18</v>
      </c>
      <c r="F22" t="s">
        <v>19</v>
      </c>
      <c r="G22">
        <v>42</v>
      </c>
      <c r="H22">
        <v>27</v>
      </c>
      <c r="I22">
        <v>69</v>
      </c>
      <c r="J22">
        <f t="shared" si="0"/>
        <v>15</v>
      </c>
      <c r="K22" t="s">
        <v>20</v>
      </c>
      <c r="L22">
        <f t="shared" si="1"/>
        <v>1</v>
      </c>
      <c r="M22">
        <v>7</v>
      </c>
      <c r="N22">
        <v>4</v>
      </c>
      <c r="O22">
        <f t="shared" si="2"/>
        <v>1</v>
      </c>
    </row>
    <row r="23" spans="1:15" x14ac:dyDescent="0.3">
      <c r="A23" t="s">
        <v>15</v>
      </c>
      <c r="B23" t="s">
        <v>59</v>
      </c>
      <c r="C23" t="s">
        <v>60</v>
      </c>
      <c r="D23">
        <v>2</v>
      </c>
      <c r="E23" t="s">
        <v>21</v>
      </c>
      <c r="F23" t="s">
        <v>22</v>
      </c>
      <c r="G23">
        <v>37</v>
      </c>
      <c r="H23">
        <v>24</v>
      </c>
      <c r="I23">
        <v>61</v>
      </c>
      <c r="J23">
        <f t="shared" si="0"/>
        <v>13</v>
      </c>
      <c r="K23" t="s">
        <v>20</v>
      </c>
      <c r="L23">
        <f t="shared" si="1"/>
        <v>1</v>
      </c>
      <c r="M23">
        <v>6</v>
      </c>
      <c r="N23">
        <v>4</v>
      </c>
      <c r="O23">
        <f t="shared" si="2"/>
        <v>1</v>
      </c>
    </row>
    <row r="24" spans="1:15" x14ac:dyDescent="0.3">
      <c r="A24" t="s">
        <v>15</v>
      </c>
      <c r="B24" t="s">
        <v>59</v>
      </c>
      <c r="C24" t="s">
        <v>60</v>
      </c>
      <c r="D24">
        <v>2</v>
      </c>
      <c r="E24" t="s">
        <v>23</v>
      </c>
      <c r="F24" t="s">
        <v>24</v>
      </c>
      <c r="G24">
        <v>73</v>
      </c>
      <c r="H24">
        <v>0</v>
      </c>
      <c r="I24">
        <v>73</v>
      </c>
      <c r="J24">
        <f t="shared" si="0"/>
        <v>0</v>
      </c>
      <c r="K24" t="s">
        <v>20</v>
      </c>
      <c r="L24">
        <f t="shared" si="1"/>
        <v>1</v>
      </c>
      <c r="M24">
        <v>8</v>
      </c>
      <c r="N24">
        <v>1</v>
      </c>
      <c r="O24">
        <f t="shared" si="2"/>
        <v>0</v>
      </c>
    </row>
    <row r="25" spans="1:15" x14ac:dyDescent="0.3">
      <c r="A25" t="s">
        <v>15</v>
      </c>
      <c r="B25" t="s">
        <v>59</v>
      </c>
      <c r="C25" t="s">
        <v>60</v>
      </c>
      <c r="D25">
        <v>2</v>
      </c>
      <c r="E25" t="s">
        <v>25</v>
      </c>
      <c r="F25" t="s">
        <v>26</v>
      </c>
      <c r="G25">
        <v>33</v>
      </c>
      <c r="H25">
        <v>30</v>
      </c>
      <c r="I25">
        <v>63</v>
      </c>
      <c r="J25">
        <f t="shared" si="0"/>
        <v>3</v>
      </c>
      <c r="K25" t="s">
        <v>20</v>
      </c>
      <c r="L25">
        <f t="shared" si="1"/>
        <v>1</v>
      </c>
      <c r="M25">
        <v>7</v>
      </c>
      <c r="N25">
        <v>1</v>
      </c>
      <c r="O25">
        <f t="shared" si="2"/>
        <v>1</v>
      </c>
    </row>
    <row r="26" spans="1:15" x14ac:dyDescent="0.3">
      <c r="A26" t="s">
        <v>15</v>
      </c>
      <c r="B26" t="s">
        <v>59</v>
      </c>
      <c r="C26" t="s">
        <v>60</v>
      </c>
      <c r="D26">
        <v>2</v>
      </c>
      <c r="E26" t="s">
        <v>61</v>
      </c>
      <c r="F26" t="s">
        <v>62</v>
      </c>
      <c r="G26">
        <v>27</v>
      </c>
      <c r="H26">
        <v>35</v>
      </c>
      <c r="I26">
        <v>62</v>
      </c>
      <c r="J26">
        <f t="shared" si="0"/>
        <v>-8</v>
      </c>
      <c r="K26" t="s">
        <v>20</v>
      </c>
      <c r="L26">
        <f t="shared" si="1"/>
        <v>1</v>
      </c>
      <c r="M26">
        <v>7</v>
      </c>
      <c r="N26">
        <v>2</v>
      </c>
      <c r="O26">
        <f t="shared" si="2"/>
        <v>1</v>
      </c>
    </row>
    <row r="27" spans="1:15" x14ac:dyDescent="0.3">
      <c r="A27" t="s">
        <v>15</v>
      </c>
      <c r="B27" t="s">
        <v>59</v>
      </c>
      <c r="C27" t="s">
        <v>60</v>
      </c>
      <c r="D27">
        <v>2</v>
      </c>
      <c r="E27" t="s">
        <v>63</v>
      </c>
      <c r="F27" t="s">
        <v>64</v>
      </c>
      <c r="G27">
        <v>87</v>
      </c>
      <c r="H27">
        <v>0</v>
      </c>
      <c r="I27">
        <v>87</v>
      </c>
      <c r="J27">
        <f t="shared" si="0"/>
        <v>0</v>
      </c>
      <c r="K27" t="s">
        <v>20</v>
      </c>
      <c r="L27">
        <f t="shared" si="1"/>
        <v>1</v>
      </c>
      <c r="M27">
        <v>9</v>
      </c>
      <c r="N27">
        <v>1</v>
      </c>
      <c r="O27">
        <f t="shared" si="2"/>
        <v>0</v>
      </c>
    </row>
    <row r="28" spans="1:15" x14ac:dyDescent="0.3">
      <c r="A28" t="s">
        <v>15</v>
      </c>
      <c r="B28" t="s">
        <v>59</v>
      </c>
      <c r="C28" t="s">
        <v>60</v>
      </c>
      <c r="D28">
        <v>2</v>
      </c>
      <c r="E28" t="s">
        <v>31</v>
      </c>
      <c r="F28" t="s">
        <v>32</v>
      </c>
      <c r="G28">
        <v>94</v>
      </c>
      <c r="H28">
        <v>0</v>
      </c>
      <c r="I28">
        <v>94</v>
      </c>
      <c r="J28">
        <f t="shared" si="0"/>
        <v>0</v>
      </c>
      <c r="K28" t="s">
        <v>20</v>
      </c>
      <c r="L28">
        <f t="shared" si="1"/>
        <v>1</v>
      </c>
      <c r="M28">
        <v>10</v>
      </c>
      <c r="N28">
        <v>1</v>
      </c>
      <c r="O28">
        <f t="shared" si="2"/>
        <v>0</v>
      </c>
    </row>
    <row r="29" spans="1:15" x14ac:dyDescent="0.3">
      <c r="A29" t="s">
        <v>15</v>
      </c>
      <c r="B29" t="s">
        <v>59</v>
      </c>
      <c r="C29" t="s">
        <v>60</v>
      </c>
      <c r="D29">
        <v>2</v>
      </c>
      <c r="E29" t="s">
        <v>33</v>
      </c>
      <c r="F29" t="s">
        <v>34</v>
      </c>
      <c r="G29">
        <v>35</v>
      </c>
      <c r="H29">
        <v>25</v>
      </c>
      <c r="I29">
        <v>60</v>
      </c>
      <c r="J29">
        <f t="shared" si="0"/>
        <v>10</v>
      </c>
      <c r="K29" t="s">
        <v>20</v>
      </c>
      <c r="L29">
        <f t="shared" si="1"/>
        <v>1</v>
      </c>
      <c r="M29">
        <v>7</v>
      </c>
      <c r="N29">
        <v>4</v>
      </c>
      <c r="O29">
        <f t="shared" si="2"/>
        <v>1</v>
      </c>
    </row>
    <row r="30" spans="1:15" x14ac:dyDescent="0.3">
      <c r="A30" t="s">
        <v>15</v>
      </c>
      <c r="B30" t="s">
        <v>59</v>
      </c>
      <c r="C30" t="s">
        <v>60</v>
      </c>
      <c r="D30">
        <v>2</v>
      </c>
      <c r="E30" t="s">
        <v>35</v>
      </c>
      <c r="F30" t="s">
        <v>36</v>
      </c>
      <c r="G30">
        <v>27</v>
      </c>
      <c r="H30">
        <v>38</v>
      </c>
      <c r="I30">
        <v>65</v>
      </c>
      <c r="J30">
        <f t="shared" si="0"/>
        <v>-11</v>
      </c>
      <c r="K30" t="s">
        <v>20</v>
      </c>
      <c r="L30">
        <f t="shared" si="1"/>
        <v>1</v>
      </c>
      <c r="M30">
        <v>7</v>
      </c>
      <c r="N30">
        <v>3</v>
      </c>
      <c r="O30">
        <f t="shared" si="2"/>
        <v>1</v>
      </c>
    </row>
    <row r="31" spans="1:15" x14ac:dyDescent="0.3">
      <c r="A31" t="s">
        <v>15</v>
      </c>
      <c r="B31" t="s">
        <v>59</v>
      </c>
      <c r="C31" t="s">
        <v>60</v>
      </c>
      <c r="D31">
        <v>2</v>
      </c>
      <c r="E31" t="s">
        <v>37</v>
      </c>
      <c r="F31" t="s">
        <v>38</v>
      </c>
      <c r="G31">
        <v>25</v>
      </c>
      <c r="H31">
        <v>30</v>
      </c>
      <c r="I31">
        <v>55</v>
      </c>
      <c r="J31">
        <f t="shared" si="0"/>
        <v>-5</v>
      </c>
      <c r="K31" t="s">
        <v>20</v>
      </c>
      <c r="L31">
        <f t="shared" si="1"/>
        <v>1</v>
      </c>
      <c r="M31">
        <v>6</v>
      </c>
      <c r="N31">
        <v>3</v>
      </c>
      <c r="O31">
        <f t="shared" si="2"/>
        <v>1</v>
      </c>
    </row>
    <row r="32" spans="1:15" x14ac:dyDescent="0.3">
      <c r="A32" t="s">
        <v>15</v>
      </c>
      <c r="B32" t="s">
        <v>59</v>
      </c>
      <c r="C32" t="s">
        <v>60</v>
      </c>
      <c r="D32">
        <v>1</v>
      </c>
      <c r="E32" t="s">
        <v>39</v>
      </c>
      <c r="F32" t="s">
        <v>40</v>
      </c>
      <c r="G32">
        <v>89</v>
      </c>
      <c r="H32">
        <v>0</v>
      </c>
      <c r="I32">
        <v>89</v>
      </c>
      <c r="J32">
        <f t="shared" si="0"/>
        <v>0</v>
      </c>
      <c r="K32" t="s">
        <v>20</v>
      </c>
      <c r="L32">
        <f t="shared" si="1"/>
        <v>1</v>
      </c>
      <c r="M32">
        <v>9</v>
      </c>
      <c r="N32">
        <v>1</v>
      </c>
      <c r="O32">
        <f t="shared" si="2"/>
        <v>0</v>
      </c>
    </row>
    <row r="33" spans="1:15" x14ac:dyDescent="0.3">
      <c r="A33" t="s">
        <v>15</v>
      </c>
      <c r="B33" t="s">
        <v>59</v>
      </c>
      <c r="C33" t="s">
        <v>60</v>
      </c>
      <c r="D33">
        <v>1</v>
      </c>
      <c r="E33" t="s">
        <v>41</v>
      </c>
      <c r="F33" t="s">
        <v>42</v>
      </c>
      <c r="G33">
        <v>25</v>
      </c>
      <c r="H33">
        <v>37</v>
      </c>
      <c r="I33">
        <v>62</v>
      </c>
      <c r="J33">
        <f t="shared" si="0"/>
        <v>-12</v>
      </c>
      <c r="K33" t="s">
        <v>20</v>
      </c>
      <c r="L33">
        <f t="shared" si="1"/>
        <v>1</v>
      </c>
      <c r="M33">
        <v>8</v>
      </c>
      <c r="N33">
        <v>3</v>
      </c>
      <c r="O33">
        <f t="shared" si="2"/>
        <v>1</v>
      </c>
    </row>
    <row r="34" spans="1:15" x14ac:dyDescent="0.3">
      <c r="A34" t="s">
        <v>15</v>
      </c>
      <c r="B34" t="s">
        <v>59</v>
      </c>
      <c r="C34" t="s">
        <v>60</v>
      </c>
      <c r="D34">
        <v>1</v>
      </c>
      <c r="E34" t="s">
        <v>43</v>
      </c>
      <c r="F34" t="s">
        <v>44</v>
      </c>
      <c r="G34">
        <v>50</v>
      </c>
      <c r="H34">
        <v>0</v>
      </c>
      <c r="I34">
        <v>50</v>
      </c>
      <c r="J34">
        <f t="shared" si="0"/>
        <v>0</v>
      </c>
      <c r="K34" t="s">
        <v>20</v>
      </c>
      <c r="L34">
        <f t="shared" si="1"/>
        <v>1</v>
      </c>
      <c r="M34">
        <v>5</v>
      </c>
      <c r="N34">
        <v>1</v>
      </c>
      <c r="O34">
        <f t="shared" si="2"/>
        <v>0</v>
      </c>
    </row>
    <row r="35" spans="1:15" x14ac:dyDescent="0.3">
      <c r="A35" t="s">
        <v>15</v>
      </c>
      <c r="B35" t="s">
        <v>59</v>
      </c>
      <c r="C35" t="s">
        <v>60</v>
      </c>
      <c r="D35">
        <v>1</v>
      </c>
      <c r="E35" t="s">
        <v>45</v>
      </c>
      <c r="F35" t="s">
        <v>46</v>
      </c>
      <c r="G35">
        <v>25</v>
      </c>
      <c r="H35">
        <v>41</v>
      </c>
      <c r="I35">
        <v>66</v>
      </c>
      <c r="J35">
        <f t="shared" si="0"/>
        <v>-16</v>
      </c>
      <c r="K35" t="s">
        <v>20</v>
      </c>
      <c r="L35">
        <f t="shared" si="1"/>
        <v>1</v>
      </c>
      <c r="M35">
        <v>7</v>
      </c>
      <c r="N35">
        <v>1</v>
      </c>
      <c r="O35">
        <f t="shared" si="2"/>
        <v>1</v>
      </c>
    </row>
    <row r="36" spans="1:15" x14ac:dyDescent="0.3">
      <c r="A36" t="s">
        <v>15</v>
      </c>
      <c r="B36" t="s">
        <v>59</v>
      </c>
      <c r="C36" t="s">
        <v>60</v>
      </c>
      <c r="D36">
        <v>1</v>
      </c>
      <c r="E36" t="s">
        <v>65</v>
      </c>
      <c r="F36" t="s">
        <v>66</v>
      </c>
      <c r="G36">
        <v>86</v>
      </c>
      <c r="H36">
        <v>0</v>
      </c>
      <c r="I36">
        <v>86</v>
      </c>
      <c r="J36">
        <f t="shared" si="0"/>
        <v>0</v>
      </c>
      <c r="K36" t="s">
        <v>20</v>
      </c>
      <c r="L36">
        <f t="shared" si="1"/>
        <v>1</v>
      </c>
      <c r="M36">
        <v>9</v>
      </c>
      <c r="N36">
        <v>1</v>
      </c>
      <c r="O36">
        <f t="shared" si="2"/>
        <v>0</v>
      </c>
    </row>
    <row r="37" spans="1:15" x14ac:dyDescent="0.3">
      <c r="A37" t="s">
        <v>15</v>
      </c>
      <c r="B37" t="s">
        <v>59</v>
      </c>
      <c r="C37" t="s">
        <v>60</v>
      </c>
      <c r="D37">
        <v>1</v>
      </c>
      <c r="E37" t="s">
        <v>49</v>
      </c>
      <c r="F37" t="s">
        <v>50</v>
      </c>
      <c r="G37">
        <v>90</v>
      </c>
      <c r="H37">
        <v>0</v>
      </c>
      <c r="I37">
        <v>90</v>
      </c>
      <c r="J37">
        <f t="shared" si="0"/>
        <v>0</v>
      </c>
      <c r="K37" t="s">
        <v>20</v>
      </c>
      <c r="L37">
        <f t="shared" si="1"/>
        <v>1</v>
      </c>
      <c r="M37">
        <v>9</v>
      </c>
      <c r="N37">
        <v>1</v>
      </c>
      <c r="O37">
        <f t="shared" si="2"/>
        <v>0</v>
      </c>
    </row>
    <row r="38" spans="1:15" x14ac:dyDescent="0.3">
      <c r="A38" t="s">
        <v>15</v>
      </c>
      <c r="B38" t="s">
        <v>59</v>
      </c>
      <c r="C38" t="s">
        <v>60</v>
      </c>
      <c r="D38">
        <v>1</v>
      </c>
      <c r="E38" t="s">
        <v>51</v>
      </c>
      <c r="F38" t="s">
        <v>52</v>
      </c>
      <c r="G38">
        <v>85</v>
      </c>
      <c r="H38">
        <v>0</v>
      </c>
      <c r="I38">
        <v>85</v>
      </c>
      <c r="J38">
        <f t="shared" si="0"/>
        <v>0</v>
      </c>
      <c r="K38" t="s">
        <v>20</v>
      </c>
      <c r="L38">
        <f t="shared" si="1"/>
        <v>1</v>
      </c>
      <c r="M38">
        <v>9</v>
      </c>
      <c r="N38">
        <v>1</v>
      </c>
      <c r="O38">
        <f t="shared" si="2"/>
        <v>0</v>
      </c>
    </row>
    <row r="39" spans="1:15" x14ac:dyDescent="0.3">
      <c r="A39" t="s">
        <v>15</v>
      </c>
      <c r="B39" t="s">
        <v>59</v>
      </c>
      <c r="C39" t="s">
        <v>60</v>
      </c>
      <c r="D39">
        <v>1</v>
      </c>
      <c r="E39" t="s">
        <v>53</v>
      </c>
      <c r="F39" t="s">
        <v>54</v>
      </c>
      <c r="G39">
        <v>42</v>
      </c>
      <c r="H39">
        <v>39</v>
      </c>
      <c r="I39">
        <v>81</v>
      </c>
      <c r="J39">
        <f t="shared" si="0"/>
        <v>3</v>
      </c>
      <c r="K39" t="s">
        <v>20</v>
      </c>
      <c r="L39">
        <f t="shared" si="1"/>
        <v>1</v>
      </c>
      <c r="M39">
        <v>8</v>
      </c>
      <c r="N39">
        <v>4</v>
      </c>
      <c r="O39">
        <f t="shared" si="2"/>
        <v>1</v>
      </c>
    </row>
    <row r="40" spans="1:15" x14ac:dyDescent="0.3">
      <c r="A40" t="s">
        <v>15</v>
      </c>
      <c r="B40" t="s">
        <v>59</v>
      </c>
      <c r="C40" t="s">
        <v>60</v>
      </c>
      <c r="D40">
        <v>1</v>
      </c>
      <c r="E40" t="s">
        <v>55</v>
      </c>
      <c r="F40" t="s">
        <v>56</v>
      </c>
      <c r="G40">
        <v>44</v>
      </c>
      <c r="H40">
        <v>41</v>
      </c>
      <c r="I40">
        <v>85</v>
      </c>
      <c r="J40">
        <f t="shared" si="0"/>
        <v>3</v>
      </c>
      <c r="K40" t="s">
        <v>20</v>
      </c>
      <c r="L40">
        <f t="shared" si="1"/>
        <v>1</v>
      </c>
      <c r="M40">
        <v>8</v>
      </c>
      <c r="N40">
        <v>3</v>
      </c>
      <c r="O40">
        <f t="shared" si="2"/>
        <v>1</v>
      </c>
    </row>
    <row r="41" spans="1:15" x14ac:dyDescent="0.3">
      <c r="A41" t="s">
        <v>15</v>
      </c>
      <c r="B41" t="s">
        <v>59</v>
      </c>
      <c r="C41" t="s">
        <v>60</v>
      </c>
      <c r="D41">
        <v>1</v>
      </c>
      <c r="E41" t="s">
        <v>57</v>
      </c>
      <c r="F41" t="s">
        <v>58</v>
      </c>
      <c r="G41">
        <v>32</v>
      </c>
      <c r="H41">
        <v>32</v>
      </c>
      <c r="I41">
        <v>64</v>
      </c>
      <c r="J41">
        <f t="shared" si="0"/>
        <v>0</v>
      </c>
      <c r="K41" t="s">
        <v>20</v>
      </c>
      <c r="L41">
        <f t="shared" si="1"/>
        <v>1</v>
      </c>
      <c r="M41">
        <v>7</v>
      </c>
      <c r="N41">
        <v>4</v>
      </c>
      <c r="O41">
        <f t="shared" si="2"/>
        <v>1</v>
      </c>
    </row>
    <row r="42" spans="1:15" x14ac:dyDescent="0.3">
      <c r="A42" t="s">
        <v>15</v>
      </c>
      <c r="B42" t="s">
        <v>67</v>
      </c>
      <c r="C42" t="s">
        <v>68</v>
      </c>
      <c r="D42">
        <v>2</v>
      </c>
      <c r="E42" t="s">
        <v>18</v>
      </c>
      <c r="F42" t="s">
        <v>19</v>
      </c>
      <c r="G42">
        <v>38</v>
      </c>
      <c r="H42">
        <v>23</v>
      </c>
      <c r="I42">
        <v>61</v>
      </c>
      <c r="J42">
        <f t="shared" si="0"/>
        <v>15</v>
      </c>
      <c r="K42" t="s">
        <v>20</v>
      </c>
      <c r="L42">
        <f t="shared" si="1"/>
        <v>1</v>
      </c>
      <c r="M42">
        <v>6</v>
      </c>
      <c r="N42">
        <v>4</v>
      </c>
      <c r="O42">
        <f t="shared" si="2"/>
        <v>1</v>
      </c>
    </row>
    <row r="43" spans="1:15" x14ac:dyDescent="0.3">
      <c r="A43" t="s">
        <v>15</v>
      </c>
      <c r="B43" t="s">
        <v>67</v>
      </c>
      <c r="C43" t="s">
        <v>68</v>
      </c>
      <c r="D43">
        <v>2</v>
      </c>
      <c r="E43" t="s">
        <v>21</v>
      </c>
      <c r="F43" t="s">
        <v>22</v>
      </c>
      <c r="G43">
        <v>36</v>
      </c>
      <c r="H43">
        <v>35</v>
      </c>
      <c r="I43">
        <v>71</v>
      </c>
      <c r="J43">
        <f t="shared" si="0"/>
        <v>1</v>
      </c>
      <c r="K43" t="s">
        <v>20</v>
      </c>
      <c r="L43">
        <f t="shared" si="1"/>
        <v>1</v>
      </c>
      <c r="M43">
        <v>7</v>
      </c>
      <c r="N43">
        <v>4</v>
      </c>
      <c r="O43">
        <f t="shared" si="2"/>
        <v>1</v>
      </c>
    </row>
    <row r="44" spans="1:15" x14ac:dyDescent="0.3">
      <c r="A44" t="s">
        <v>15</v>
      </c>
      <c r="B44" t="s">
        <v>67</v>
      </c>
      <c r="C44" t="s">
        <v>68</v>
      </c>
      <c r="D44">
        <v>2</v>
      </c>
      <c r="E44" t="s">
        <v>23</v>
      </c>
      <c r="F44" t="s">
        <v>24</v>
      </c>
      <c r="G44">
        <v>88</v>
      </c>
      <c r="H44">
        <v>0</v>
      </c>
      <c r="I44">
        <v>88</v>
      </c>
      <c r="J44">
        <f t="shared" si="0"/>
        <v>0</v>
      </c>
      <c r="K44" t="s">
        <v>20</v>
      </c>
      <c r="L44">
        <f t="shared" si="1"/>
        <v>1</v>
      </c>
      <c r="M44">
        <v>9</v>
      </c>
      <c r="N44">
        <v>1</v>
      </c>
      <c r="O44">
        <f t="shared" si="2"/>
        <v>0</v>
      </c>
    </row>
    <row r="45" spans="1:15" x14ac:dyDescent="0.3">
      <c r="A45" t="s">
        <v>15</v>
      </c>
      <c r="B45" t="s">
        <v>67</v>
      </c>
      <c r="C45" t="s">
        <v>68</v>
      </c>
      <c r="D45">
        <v>2</v>
      </c>
      <c r="E45" t="s">
        <v>25</v>
      </c>
      <c r="F45" t="s">
        <v>26</v>
      </c>
      <c r="G45">
        <v>32</v>
      </c>
      <c r="H45">
        <v>28</v>
      </c>
      <c r="I45">
        <v>60</v>
      </c>
      <c r="J45">
        <f t="shared" si="0"/>
        <v>4</v>
      </c>
      <c r="K45" t="s">
        <v>20</v>
      </c>
      <c r="L45">
        <f t="shared" si="1"/>
        <v>1</v>
      </c>
      <c r="M45">
        <v>6</v>
      </c>
      <c r="N45">
        <v>1</v>
      </c>
      <c r="O45">
        <f t="shared" si="2"/>
        <v>1</v>
      </c>
    </row>
    <row r="46" spans="1:15" x14ac:dyDescent="0.3">
      <c r="A46" t="s">
        <v>15</v>
      </c>
      <c r="B46" t="s">
        <v>67</v>
      </c>
      <c r="C46" t="s">
        <v>68</v>
      </c>
      <c r="D46">
        <v>2</v>
      </c>
      <c r="E46" t="s">
        <v>27</v>
      </c>
      <c r="F46" t="s">
        <v>28</v>
      </c>
      <c r="G46">
        <v>21</v>
      </c>
      <c r="H46">
        <v>36</v>
      </c>
      <c r="I46">
        <v>57</v>
      </c>
      <c r="J46">
        <f t="shared" si="0"/>
        <v>-15</v>
      </c>
      <c r="K46" t="s">
        <v>20</v>
      </c>
      <c r="L46">
        <f t="shared" si="1"/>
        <v>1</v>
      </c>
      <c r="M46">
        <v>6</v>
      </c>
      <c r="N46">
        <v>2</v>
      </c>
      <c r="O46">
        <f t="shared" si="2"/>
        <v>1</v>
      </c>
    </row>
    <row r="47" spans="1:15" x14ac:dyDescent="0.3">
      <c r="A47" t="s">
        <v>15</v>
      </c>
      <c r="B47" t="s">
        <v>67</v>
      </c>
      <c r="C47" t="s">
        <v>68</v>
      </c>
      <c r="D47">
        <v>2</v>
      </c>
      <c r="E47" t="s">
        <v>69</v>
      </c>
      <c r="F47" t="s">
        <v>70</v>
      </c>
      <c r="G47">
        <v>100</v>
      </c>
      <c r="H47">
        <v>0</v>
      </c>
      <c r="I47">
        <v>100</v>
      </c>
      <c r="J47">
        <f t="shared" si="0"/>
        <v>0</v>
      </c>
      <c r="K47" t="s">
        <v>20</v>
      </c>
      <c r="L47">
        <f t="shared" si="1"/>
        <v>1</v>
      </c>
      <c r="M47">
        <v>10</v>
      </c>
      <c r="N47">
        <v>1</v>
      </c>
      <c r="O47">
        <f t="shared" si="2"/>
        <v>0</v>
      </c>
    </row>
    <row r="48" spans="1:15" x14ac:dyDescent="0.3">
      <c r="A48" t="s">
        <v>15</v>
      </c>
      <c r="B48" t="s">
        <v>67</v>
      </c>
      <c r="C48" t="s">
        <v>68</v>
      </c>
      <c r="D48">
        <v>2</v>
      </c>
      <c r="E48" t="s">
        <v>31</v>
      </c>
      <c r="F48" t="s">
        <v>32</v>
      </c>
      <c r="G48">
        <v>94</v>
      </c>
      <c r="H48">
        <v>0</v>
      </c>
      <c r="I48">
        <v>94</v>
      </c>
      <c r="J48">
        <f t="shared" si="0"/>
        <v>0</v>
      </c>
      <c r="K48" t="s">
        <v>20</v>
      </c>
      <c r="L48">
        <f t="shared" si="1"/>
        <v>1</v>
      </c>
      <c r="M48">
        <v>10</v>
      </c>
      <c r="N48">
        <v>1</v>
      </c>
      <c r="O48">
        <f t="shared" si="2"/>
        <v>0</v>
      </c>
    </row>
    <row r="49" spans="1:15" x14ac:dyDescent="0.3">
      <c r="A49" t="s">
        <v>15</v>
      </c>
      <c r="B49" t="s">
        <v>67</v>
      </c>
      <c r="C49" t="s">
        <v>68</v>
      </c>
      <c r="D49">
        <v>2</v>
      </c>
      <c r="E49" t="s">
        <v>33</v>
      </c>
      <c r="F49" t="s">
        <v>34</v>
      </c>
      <c r="G49">
        <v>29</v>
      </c>
      <c r="H49">
        <v>23</v>
      </c>
      <c r="I49">
        <v>52</v>
      </c>
      <c r="J49">
        <f t="shared" si="0"/>
        <v>6</v>
      </c>
      <c r="K49" t="s">
        <v>20</v>
      </c>
      <c r="L49">
        <f t="shared" si="1"/>
        <v>1</v>
      </c>
      <c r="M49">
        <v>6</v>
      </c>
      <c r="N49">
        <v>4</v>
      </c>
      <c r="O49">
        <f t="shared" si="2"/>
        <v>1</v>
      </c>
    </row>
    <row r="50" spans="1:15" x14ac:dyDescent="0.3">
      <c r="A50" t="s">
        <v>15</v>
      </c>
      <c r="B50" t="s">
        <v>67</v>
      </c>
      <c r="C50" t="s">
        <v>68</v>
      </c>
      <c r="D50">
        <v>2</v>
      </c>
      <c r="E50" t="s">
        <v>35</v>
      </c>
      <c r="F50" t="s">
        <v>36</v>
      </c>
      <c r="G50">
        <v>12</v>
      </c>
      <c r="H50">
        <v>41</v>
      </c>
      <c r="I50">
        <v>53</v>
      </c>
      <c r="J50">
        <f t="shared" si="0"/>
        <v>-29</v>
      </c>
      <c r="K50" t="s">
        <v>20</v>
      </c>
      <c r="L50">
        <f t="shared" si="1"/>
        <v>1</v>
      </c>
      <c r="M50">
        <v>5</v>
      </c>
      <c r="N50">
        <v>3</v>
      </c>
      <c r="O50">
        <f t="shared" si="2"/>
        <v>1</v>
      </c>
    </row>
    <row r="51" spans="1:15" x14ac:dyDescent="0.3">
      <c r="A51" t="s">
        <v>15</v>
      </c>
      <c r="B51" t="s">
        <v>67</v>
      </c>
      <c r="C51" t="s">
        <v>68</v>
      </c>
      <c r="D51">
        <v>2</v>
      </c>
      <c r="E51" t="s">
        <v>37</v>
      </c>
      <c r="F51" t="s">
        <v>38</v>
      </c>
      <c r="G51">
        <v>20</v>
      </c>
      <c r="H51">
        <v>37</v>
      </c>
      <c r="I51">
        <v>57</v>
      </c>
      <c r="J51">
        <f t="shared" si="0"/>
        <v>-17</v>
      </c>
      <c r="K51" t="s">
        <v>20</v>
      </c>
      <c r="L51">
        <f t="shared" si="1"/>
        <v>1</v>
      </c>
      <c r="M51">
        <v>6</v>
      </c>
      <c r="N51">
        <v>3</v>
      </c>
      <c r="O51">
        <f t="shared" si="2"/>
        <v>1</v>
      </c>
    </row>
    <row r="52" spans="1:15" x14ac:dyDescent="0.3">
      <c r="A52" t="s">
        <v>15</v>
      </c>
      <c r="B52" t="s">
        <v>67</v>
      </c>
      <c r="C52" t="s">
        <v>68</v>
      </c>
      <c r="D52">
        <v>1</v>
      </c>
      <c r="E52" t="s">
        <v>39</v>
      </c>
      <c r="F52" t="s">
        <v>40</v>
      </c>
      <c r="G52">
        <v>88</v>
      </c>
      <c r="H52">
        <v>0</v>
      </c>
      <c r="I52">
        <v>88</v>
      </c>
      <c r="J52">
        <f t="shared" si="0"/>
        <v>0</v>
      </c>
      <c r="K52" t="s">
        <v>20</v>
      </c>
      <c r="L52">
        <f t="shared" si="1"/>
        <v>1</v>
      </c>
      <c r="M52">
        <v>9</v>
      </c>
      <c r="N52">
        <v>1</v>
      </c>
      <c r="O52">
        <f t="shared" si="2"/>
        <v>0</v>
      </c>
    </row>
    <row r="53" spans="1:15" x14ac:dyDescent="0.3">
      <c r="A53" t="s">
        <v>15</v>
      </c>
      <c r="B53" t="s">
        <v>67</v>
      </c>
      <c r="C53" t="s">
        <v>68</v>
      </c>
      <c r="D53">
        <v>1</v>
      </c>
      <c r="E53" t="s">
        <v>41</v>
      </c>
      <c r="F53" t="s">
        <v>42</v>
      </c>
      <c r="G53">
        <v>15</v>
      </c>
      <c r="H53">
        <v>37</v>
      </c>
      <c r="I53">
        <v>52</v>
      </c>
      <c r="J53">
        <f t="shared" si="0"/>
        <v>-22</v>
      </c>
      <c r="K53" t="s">
        <v>20</v>
      </c>
      <c r="L53">
        <f t="shared" si="1"/>
        <v>1</v>
      </c>
      <c r="M53">
        <v>6</v>
      </c>
      <c r="N53">
        <v>3</v>
      </c>
      <c r="O53">
        <f t="shared" si="2"/>
        <v>1</v>
      </c>
    </row>
    <row r="54" spans="1:15" x14ac:dyDescent="0.3">
      <c r="A54" t="s">
        <v>15</v>
      </c>
      <c r="B54" t="s">
        <v>67</v>
      </c>
      <c r="C54" t="s">
        <v>68</v>
      </c>
      <c r="D54">
        <v>1</v>
      </c>
      <c r="E54" t="s">
        <v>43</v>
      </c>
      <c r="F54" t="s">
        <v>44</v>
      </c>
      <c r="G54">
        <v>86</v>
      </c>
      <c r="H54">
        <v>0</v>
      </c>
      <c r="I54">
        <v>86</v>
      </c>
      <c r="J54">
        <f t="shared" si="0"/>
        <v>0</v>
      </c>
      <c r="K54" t="s">
        <v>20</v>
      </c>
      <c r="L54">
        <f t="shared" si="1"/>
        <v>1</v>
      </c>
      <c r="M54">
        <v>9</v>
      </c>
      <c r="N54">
        <v>1</v>
      </c>
      <c r="O54">
        <f t="shared" si="2"/>
        <v>0</v>
      </c>
    </row>
    <row r="55" spans="1:15" x14ac:dyDescent="0.3">
      <c r="A55" t="s">
        <v>15</v>
      </c>
      <c r="B55" t="s">
        <v>67</v>
      </c>
      <c r="C55" t="s">
        <v>68</v>
      </c>
      <c r="D55">
        <v>1</v>
      </c>
      <c r="E55" t="s">
        <v>45</v>
      </c>
      <c r="F55" t="s">
        <v>46</v>
      </c>
      <c r="G55">
        <v>26</v>
      </c>
      <c r="H55">
        <v>35</v>
      </c>
      <c r="I55">
        <v>61</v>
      </c>
      <c r="J55">
        <f t="shared" si="0"/>
        <v>-9</v>
      </c>
      <c r="K55" t="s">
        <v>20</v>
      </c>
      <c r="L55">
        <f t="shared" si="1"/>
        <v>1</v>
      </c>
      <c r="M55">
        <v>6</v>
      </c>
      <c r="N55">
        <v>1</v>
      </c>
      <c r="O55">
        <f t="shared" si="2"/>
        <v>1</v>
      </c>
    </row>
    <row r="56" spans="1:15" x14ac:dyDescent="0.3">
      <c r="A56" t="s">
        <v>15</v>
      </c>
      <c r="B56" t="s">
        <v>67</v>
      </c>
      <c r="C56" t="s">
        <v>68</v>
      </c>
      <c r="D56">
        <v>1</v>
      </c>
      <c r="E56" t="s">
        <v>71</v>
      </c>
      <c r="F56" t="s">
        <v>72</v>
      </c>
      <c r="G56">
        <v>82</v>
      </c>
      <c r="H56">
        <v>0</v>
      </c>
      <c r="I56">
        <v>82</v>
      </c>
      <c r="J56">
        <f t="shared" si="0"/>
        <v>0</v>
      </c>
      <c r="K56" t="s">
        <v>20</v>
      </c>
      <c r="L56">
        <f t="shared" si="1"/>
        <v>1</v>
      </c>
      <c r="M56">
        <v>9</v>
      </c>
      <c r="N56">
        <v>1</v>
      </c>
      <c r="O56">
        <f t="shared" si="2"/>
        <v>0</v>
      </c>
    </row>
    <row r="57" spans="1:15" x14ac:dyDescent="0.3">
      <c r="A57" t="s">
        <v>15</v>
      </c>
      <c r="B57" t="s">
        <v>67</v>
      </c>
      <c r="C57" t="s">
        <v>68</v>
      </c>
      <c r="D57">
        <v>1</v>
      </c>
      <c r="E57" t="s">
        <v>49</v>
      </c>
      <c r="F57" t="s">
        <v>50</v>
      </c>
      <c r="G57">
        <v>100</v>
      </c>
      <c r="H57">
        <v>0</v>
      </c>
      <c r="I57">
        <v>100</v>
      </c>
      <c r="J57">
        <f t="shared" si="0"/>
        <v>0</v>
      </c>
      <c r="K57" t="s">
        <v>20</v>
      </c>
      <c r="L57">
        <f t="shared" si="1"/>
        <v>1</v>
      </c>
      <c r="M57">
        <v>10</v>
      </c>
      <c r="N57">
        <v>1</v>
      </c>
      <c r="O57">
        <f t="shared" si="2"/>
        <v>0</v>
      </c>
    </row>
    <row r="58" spans="1:15" x14ac:dyDescent="0.3">
      <c r="A58" t="s">
        <v>15</v>
      </c>
      <c r="B58" t="s">
        <v>67</v>
      </c>
      <c r="C58" t="s">
        <v>68</v>
      </c>
      <c r="D58">
        <v>1</v>
      </c>
      <c r="E58" t="s">
        <v>51</v>
      </c>
      <c r="F58" t="s">
        <v>52</v>
      </c>
      <c r="G58">
        <v>78</v>
      </c>
      <c r="H58">
        <v>0</v>
      </c>
      <c r="I58">
        <v>78</v>
      </c>
      <c r="J58">
        <f t="shared" si="0"/>
        <v>0</v>
      </c>
      <c r="K58" t="s">
        <v>20</v>
      </c>
      <c r="L58">
        <f t="shared" si="1"/>
        <v>1</v>
      </c>
      <c r="M58">
        <v>8</v>
      </c>
      <c r="N58">
        <v>1</v>
      </c>
      <c r="O58">
        <f t="shared" si="2"/>
        <v>0</v>
      </c>
    </row>
    <row r="59" spans="1:15" x14ac:dyDescent="0.3">
      <c r="A59" t="s">
        <v>15</v>
      </c>
      <c r="B59" t="s">
        <v>67</v>
      </c>
      <c r="C59" t="s">
        <v>68</v>
      </c>
      <c r="D59">
        <v>1</v>
      </c>
      <c r="E59" t="s">
        <v>53</v>
      </c>
      <c r="F59" t="s">
        <v>54</v>
      </c>
      <c r="G59">
        <v>37</v>
      </c>
      <c r="H59">
        <v>39</v>
      </c>
      <c r="I59">
        <v>76</v>
      </c>
      <c r="J59">
        <f t="shared" si="0"/>
        <v>-2</v>
      </c>
      <c r="K59" t="s">
        <v>20</v>
      </c>
      <c r="L59">
        <f t="shared" si="1"/>
        <v>1</v>
      </c>
      <c r="M59">
        <v>8</v>
      </c>
      <c r="N59">
        <v>4</v>
      </c>
      <c r="O59">
        <f t="shared" si="2"/>
        <v>1</v>
      </c>
    </row>
    <row r="60" spans="1:15" x14ac:dyDescent="0.3">
      <c r="A60" t="s">
        <v>15</v>
      </c>
      <c r="B60" t="s">
        <v>67</v>
      </c>
      <c r="C60" t="s">
        <v>68</v>
      </c>
      <c r="D60">
        <v>1</v>
      </c>
      <c r="E60" t="s">
        <v>55</v>
      </c>
      <c r="F60" t="s">
        <v>56</v>
      </c>
      <c r="G60">
        <v>38</v>
      </c>
      <c r="H60">
        <v>40</v>
      </c>
      <c r="I60">
        <v>78</v>
      </c>
      <c r="J60">
        <f t="shared" si="0"/>
        <v>-2</v>
      </c>
      <c r="K60" t="s">
        <v>20</v>
      </c>
      <c r="L60">
        <f t="shared" si="1"/>
        <v>1</v>
      </c>
      <c r="M60">
        <v>8</v>
      </c>
      <c r="N60">
        <v>3</v>
      </c>
      <c r="O60">
        <f t="shared" si="2"/>
        <v>1</v>
      </c>
    </row>
    <row r="61" spans="1:15" x14ac:dyDescent="0.3">
      <c r="A61" t="s">
        <v>15</v>
      </c>
      <c r="B61" t="s">
        <v>67</v>
      </c>
      <c r="C61" t="s">
        <v>68</v>
      </c>
      <c r="D61">
        <v>1</v>
      </c>
      <c r="E61" t="s">
        <v>57</v>
      </c>
      <c r="F61" t="s">
        <v>58</v>
      </c>
      <c r="G61">
        <v>34</v>
      </c>
      <c r="H61">
        <v>34</v>
      </c>
      <c r="I61">
        <v>68</v>
      </c>
      <c r="J61">
        <f t="shared" si="0"/>
        <v>0</v>
      </c>
      <c r="K61" t="s">
        <v>20</v>
      </c>
      <c r="L61">
        <f t="shared" si="1"/>
        <v>1</v>
      </c>
      <c r="M61">
        <v>8</v>
      </c>
      <c r="N61">
        <v>4</v>
      </c>
      <c r="O61">
        <f t="shared" si="2"/>
        <v>1</v>
      </c>
    </row>
    <row r="62" spans="1:15" x14ac:dyDescent="0.3">
      <c r="A62" t="s">
        <v>15</v>
      </c>
      <c r="B62" t="s">
        <v>73</v>
      </c>
      <c r="C62" t="s">
        <v>74</v>
      </c>
      <c r="D62">
        <v>2</v>
      </c>
      <c r="E62" t="s">
        <v>18</v>
      </c>
      <c r="F62" t="s">
        <v>19</v>
      </c>
      <c r="G62">
        <v>46</v>
      </c>
      <c r="H62">
        <v>28</v>
      </c>
      <c r="I62">
        <v>74</v>
      </c>
      <c r="J62">
        <f t="shared" si="0"/>
        <v>18</v>
      </c>
      <c r="K62" t="s">
        <v>20</v>
      </c>
      <c r="L62">
        <f t="shared" si="1"/>
        <v>1</v>
      </c>
      <c r="M62">
        <v>8</v>
      </c>
      <c r="N62">
        <v>4</v>
      </c>
      <c r="O62">
        <f t="shared" si="2"/>
        <v>1</v>
      </c>
    </row>
    <row r="63" spans="1:15" x14ac:dyDescent="0.3">
      <c r="A63" t="s">
        <v>15</v>
      </c>
      <c r="B63" t="s">
        <v>73</v>
      </c>
      <c r="C63" t="s">
        <v>74</v>
      </c>
      <c r="D63">
        <v>2</v>
      </c>
      <c r="E63" t="s">
        <v>21</v>
      </c>
      <c r="F63" t="s">
        <v>22</v>
      </c>
      <c r="G63">
        <v>44</v>
      </c>
      <c r="H63">
        <v>35</v>
      </c>
      <c r="I63">
        <v>79</v>
      </c>
      <c r="J63">
        <f t="shared" si="0"/>
        <v>9</v>
      </c>
      <c r="K63" t="s">
        <v>20</v>
      </c>
      <c r="L63">
        <f t="shared" si="1"/>
        <v>1</v>
      </c>
      <c r="M63">
        <v>8</v>
      </c>
      <c r="N63">
        <v>4</v>
      </c>
      <c r="O63">
        <f t="shared" si="2"/>
        <v>1</v>
      </c>
    </row>
    <row r="64" spans="1:15" x14ac:dyDescent="0.3">
      <c r="A64" t="s">
        <v>15</v>
      </c>
      <c r="B64" t="s">
        <v>73</v>
      </c>
      <c r="C64" t="s">
        <v>74</v>
      </c>
      <c r="D64">
        <v>2</v>
      </c>
      <c r="E64" t="s">
        <v>23</v>
      </c>
      <c r="F64" t="s">
        <v>24</v>
      </c>
      <c r="G64">
        <v>83</v>
      </c>
      <c r="H64">
        <v>0</v>
      </c>
      <c r="I64">
        <v>83</v>
      </c>
      <c r="J64">
        <f t="shared" si="0"/>
        <v>0</v>
      </c>
      <c r="K64" t="s">
        <v>20</v>
      </c>
      <c r="L64">
        <f t="shared" si="1"/>
        <v>1</v>
      </c>
      <c r="M64">
        <v>9</v>
      </c>
      <c r="N64">
        <v>1</v>
      </c>
      <c r="O64">
        <f t="shared" si="2"/>
        <v>0</v>
      </c>
    </row>
    <row r="65" spans="1:15" x14ac:dyDescent="0.3">
      <c r="A65" t="s">
        <v>15</v>
      </c>
      <c r="B65" t="s">
        <v>73</v>
      </c>
      <c r="C65" t="s">
        <v>74</v>
      </c>
      <c r="D65">
        <v>2</v>
      </c>
      <c r="E65" t="s">
        <v>25</v>
      </c>
      <c r="F65" t="s">
        <v>26</v>
      </c>
      <c r="G65">
        <v>41</v>
      </c>
      <c r="H65">
        <v>36</v>
      </c>
      <c r="I65">
        <v>77</v>
      </c>
      <c r="J65">
        <f t="shared" si="0"/>
        <v>5</v>
      </c>
      <c r="K65" t="s">
        <v>20</v>
      </c>
      <c r="L65">
        <f t="shared" si="1"/>
        <v>1</v>
      </c>
      <c r="M65">
        <v>8</v>
      </c>
      <c r="N65">
        <v>1</v>
      </c>
      <c r="O65">
        <f t="shared" si="2"/>
        <v>1</v>
      </c>
    </row>
    <row r="66" spans="1:15" x14ac:dyDescent="0.3">
      <c r="A66" t="s">
        <v>15</v>
      </c>
      <c r="B66" t="s">
        <v>73</v>
      </c>
      <c r="C66" t="s">
        <v>74</v>
      </c>
      <c r="D66">
        <v>2</v>
      </c>
      <c r="E66" t="s">
        <v>27</v>
      </c>
      <c r="F66" t="s">
        <v>28</v>
      </c>
      <c r="G66">
        <v>29</v>
      </c>
      <c r="H66">
        <v>40</v>
      </c>
      <c r="I66">
        <v>69</v>
      </c>
      <c r="J66">
        <f t="shared" ref="J66:J129" si="3">IF(H66=0,0,G66-H66)</f>
        <v>-11</v>
      </c>
      <c r="K66" t="s">
        <v>20</v>
      </c>
      <c r="L66">
        <f t="shared" ref="L66:L129" si="4">IF(K66="Pass",1,0)</f>
        <v>1</v>
      </c>
      <c r="M66">
        <v>7</v>
      </c>
      <c r="N66">
        <v>2</v>
      </c>
      <c r="O66">
        <f t="shared" ref="O66:O129" si="5">IF(H66=0,0,1)</f>
        <v>1</v>
      </c>
    </row>
    <row r="67" spans="1:15" x14ac:dyDescent="0.3">
      <c r="A67" t="s">
        <v>15</v>
      </c>
      <c r="B67" t="s">
        <v>73</v>
      </c>
      <c r="C67" t="s">
        <v>74</v>
      </c>
      <c r="D67">
        <v>2</v>
      </c>
      <c r="E67" t="s">
        <v>65</v>
      </c>
      <c r="F67" t="s">
        <v>66</v>
      </c>
      <c r="G67">
        <v>77</v>
      </c>
      <c r="H67">
        <v>0</v>
      </c>
      <c r="I67">
        <v>77</v>
      </c>
      <c r="J67">
        <f t="shared" si="3"/>
        <v>0</v>
      </c>
      <c r="K67" t="s">
        <v>20</v>
      </c>
      <c r="L67">
        <f t="shared" si="4"/>
        <v>1</v>
      </c>
      <c r="M67">
        <v>8</v>
      </c>
      <c r="N67">
        <v>1</v>
      </c>
      <c r="O67">
        <f t="shared" si="5"/>
        <v>0</v>
      </c>
    </row>
    <row r="68" spans="1:15" x14ac:dyDescent="0.3">
      <c r="A68" t="s">
        <v>15</v>
      </c>
      <c r="B68" t="s">
        <v>73</v>
      </c>
      <c r="C68" t="s">
        <v>74</v>
      </c>
      <c r="D68">
        <v>2</v>
      </c>
      <c r="E68" t="s">
        <v>31</v>
      </c>
      <c r="F68" t="s">
        <v>32</v>
      </c>
      <c r="G68">
        <v>94</v>
      </c>
      <c r="H68">
        <v>0</v>
      </c>
      <c r="I68">
        <v>94</v>
      </c>
      <c r="J68">
        <f t="shared" si="3"/>
        <v>0</v>
      </c>
      <c r="K68" t="s">
        <v>20</v>
      </c>
      <c r="L68">
        <f t="shared" si="4"/>
        <v>1</v>
      </c>
      <c r="M68">
        <v>10</v>
      </c>
      <c r="N68">
        <v>1</v>
      </c>
      <c r="O68">
        <f t="shared" si="5"/>
        <v>0</v>
      </c>
    </row>
    <row r="69" spans="1:15" x14ac:dyDescent="0.3">
      <c r="A69" t="s">
        <v>15</v>
      </c>
      <c r="B69" t="s">
        <v>73</v>
      </c>
      <c r="C69" t="s">
        <v>74</v>
      </c>
      <c r="D69">
        <v>2</v>
      </c>
      <c r="E69" t="s">
        <v>33</v>
      </c>
      <c r="F69" t="s">
        <v>34</v>
      </c>
      <c r="G69">
        <v>47</v>
      </c>
      <c r="H69">
        <v>36</v>
      </c>
      <c r="I69">
        <v>83</v>
      </c>
      <c r="J69">
        <f t="shared" si="3"/>
        <v>11</v>
      </c>
      <c r="K69" t="s">
        <v>20</v>
      </c>
      <c r="L69">
        <f t="shared" si="4"/>
        <v>1</v>
      </c>
      <c r="M69">
        <v>8</v>
      </c>
      <c r="N69">
        <v>4</v>
      </c>
      <c r="O69">
        <f t="shared" si="5"/>
        <v>1</v>
      </c>
    </row>
    <row r="70" spans="1:15" x14ac:dyDescent="0.3">
      <c r="A70" t="s">
        <v>15</v>
      </c>
      <c r="B70" t="s">
        <v>73</v>
      </c>
      <c r="C70" t="s">
        <v>74</v>
      </c>
      <c r="D70">
        <v>2</v>
      </c>
      <c r="E70" t="s">
        <v>35</v>
      </c>
      <c r="F70" t="s">
        <v>36</v>
      </c>
      <c r="G70">
        <v>35</v>
      </c>
      <c r="H70">
        <v>47</v>
      </c>
      <c r="I70">
        <v>82</v>
      </c>
      <c r="J70">
        <f t="shared" si="3"/>
        <v>-12</v>
      </c>
      <c r="K70" t="s">
        <v>20</v>
      </c>
      <c r="L70">
        <f t="shared" si="4"/>
        <v>1</v>
      </c>
      <c r="M70">
        <v>9</v>
      </c>
      <c r="N70">
        <v>3</v>
      </c>
      <c r="O70">
        <f t="shared" si="5"/>
        <v>1</v>
      </c>
    </row>
    <row r="71" spans="1:15" x14ac:dyDescent="0.3">
      <c r="A71" t="s">
        <v>15</v>
      </c>
      <c r="B71" t="s">
        <v>73</v>
      </c>
      <c r="C71" t="s">
        <v>74</v>
      </c>
      <c r="D71">
        <v>2</v>
      </c>
      <c r="E71" t="s">
        <v>37</v>
      </c>
      <c r="F71" t="s">
        <v>38</v>
      </c>
      <c r="G71">
        <v>37</v>
      </c>
      <c r="H71">
        <v>39</v>
      </c>
      <c r="I71">
        <v>76</v>
      </c>
      <c r="J71">
        <f t="shared" si="3"/>
        <v>-2</v>
      </c>
      <c r="K71" t="s">
        <v>20</v>
      </c>
      <c r="L71">
        <f t="shared" si="4"/>
        <v>1</v>
      </c>
      <c r="M71">
        <v>8</v>
      </c>
      <c r="N71">
        <v>3</v>
      </c>
      <c r="O71">
        <f t="shared" si="5"/>
        <v>1</v>
      </c>
    </row>
    <row r="72" spans="1:15" x14ac:dyDescent="0.3">
      <c r="A72" t="s">
        <v>15</v>
      </c>
      <c r="B72" t="s">
        <v>73</v>
      </c>
      <c r="C72" t="s">
        <v>74</v>
      </c>
      <c r="D72">
        <v>1</v>
      </c>
      <c r="E72" t="s">
        <v>39</v>
      </c>
      <c r="F72" t="s">
        <v>40</v>
      </c>
      <c r="G72">
        <v>96</v>
      </c>
      <c r="H72">
        <v>0</v>
      </c>
      <c r="I72">
        <v>96</v>
      </c>
      <c r="J72">
        <f t="shared" si="3"/>
        <v>0</v>
      </c>
      <c r="K72" t="s">
        <v>20</v>
      </c>
      <c r="L72">
        <f t="shared" si="4"/>
        <v>1</v>
      </c>
      <c r="M72">
        <v>10</v>
      </c>
      <c r="N72">
        <v>1</v>
      </c>
      <c r="O72">
        <f t="shared" si="5"/>
        <v>0</v>
      </c>
    </row>
    <row r="73" spans="1:15" x14ac:dyDescent="0.3">
      <c r="A73" t="s">
        <v>15</v>
      </c>
      <c r="B73" t="s">
        <v>73</v>
      </c>
      <c r="C73" t="s">
        <v>74</v>
      </c>
      <c r="D73">
        <v>1</v>
      </c>
      <c r="E73" t="s">
        <v>41</v>
      </c>
      <c r="F73" t="s">
        <v>42</v>
      </c>
      <c r="G73">
        <v>31</v>
      </c>
      <c r="H73">
        <v>44</v>
      </c>
      <c r="I73">
        <v>75</v>
      </c>
      <c r="J73">
        <f t="shared" si="3"/>
        <v>-13</v>
      </c>
      <c r="K73" t="s">
        <v>20</v>
      </c>
      <c r="L73">
        <f t="shared" si="4"/>
        <v>1</v>
      </c>
      <c r="M73">
        <v>10</v>
      </c>
      <c r="N73">
        <v>3</v>
      </c>
      <c r="O73">
        <f t="shared" si="5"/>
        <v>1</v>
      </c>
    </row>
    <row r="74" spans="1:15" x14ac:dyDescent="0.3">
      <c r="A74" t="s">
        <v>15</v>
      </c>
      <c r="B74" t="s">
        <v>73</v>
      </c>
      <c r="C74" t="s">
        <v>74</v>
      </c>
      <c r="D74">
        <v>1</v>
      </c>
      <c r="E74" t="s">
        <v>43</v>
      </c>
      <c r="F74" t="s">
        <v>44</v>
      </c>
      <c r="G74">
        <v>76</v>
      </c>
      <c r="H74">
        <v>0</v>
      </c>
      <c r="I74">
        <v>76</v>
      </c>
      <c r="J74">
        <f t="shared" si="3"/>
        <v>0</v>
      </c>
      <c r="K74" t="s">
        <v>20</v>
      </c>
      <c r="L74">
        <f t="shared" si="4"/>
        <v>1</v>
      </c>
      <c r="M74">
        <v>8</v>
      </c>
      <c r="N74">
        <v>1</v>
      </c>
      <c r="O74">
        <f t="shared" si="5"/>
        <v>0</v>
      </c>
    </row>
    <row r="75" spans="1:15" x14ac:dyDescent="0.3">
      <c r="A75" t="s">
        <v>15</v>
      </c>
      <c r="B75" t="s">
        <v>73</v>
      </c>
      <c r="C75" t="s">
        <v>74</v>
      </c>
      <c r="D75">
        <v>1</v>
      </c>
      <c r="E75" t="s">
        <v>45</v>
      </c>
      <c r="F75" t="s">
        <v>46</v>
      </c>
      <c r="G75">
        <v>30</v>
      </c>
      <c r="H75">
        <v>45</v>
      </c>
      <c r="I75">
        <v>75</v>
      </c>
      <c r="J75">
        <f t="shared" si="3"/>
        <v>-15</v>
      </c>
      <c r="K75" t="s">
        <v>20</v>
      </c>
      <c r="L75">
        <f t="shared" si="4"/>
        <v>1</v>
      </c>
      <c r="M75">
        <v>8</v>
      </c>
      <c r="N75">
        <v>1</v>
      </c>
      <c r="O75">
        <f t="shared" si="5"/>
        <v>1</v>
      </c>
    </row>
    <row r="76" spans="1:15" x14ac:dyDescent="0.3">
      <c r="A76" t="s">
        <v>15</v>
      </c>
      <c r="B76" t="s">
        <v>73</v>
      </c>
      <c r="C76" t="s">
        <v>74</v>
      </c>
      <c r="D76">
        <v>1</v>
      </c>
      <c r="E76" t="s">
        <v>75</v>
      </c>
      <c r="F76" t="s">
        <v>76</v>
      </c>
      <c r="G76">
        <v>89</v>
      </c>
      <c r="H76">
        <v>0</v>
      </c>
      <c r="I76">
        <v>89</v>
      </c>
      <c r="J76">
        <f t="shared" si="3"/>
        <v>0</v>
      </c>
      <c r="K76" t="s">
        <v>20</v>
      </c>
      <c r="L76">
        <f t="shared" si="4"/>
        <v>1</v>
      </c>
      <c r="M76">
        <v>9</v>
      </c>
      <c r="N76">
        <v>1</v>
      </c>
      <c r="O76">
        <f t="shared" si="5"/>
        <v>0</v>
      </c>
    </row>
    <row r="77" spans="1:15" x14ac:dyDescent="0.3">
      <c r="A77" t="s">
        <v>15</v>
      </c>
      <c r="B77" t="s">
        <v>73</v>
      </c>
      <c r="C77" t="s">
        <v>74</v>
      </c>
      <c r="D77">
        <v>1</v>
      </c>
      <c r="E77" t="s">
        <v>49</v>
      </c>
      <c r="F77" t="s">
        <v>50</v>
      </c>
      <c r="G77">
        <v>100</v>
      </c>
      <c r="H77">
        <v>0</v>
      </c>
      <c r="I77">
        <v>100</v>
      </c>
      <c r="J77">
        <f t="shared" si="3"/>
        <v>0</v>
      </c>
      <c r="K77" t="s">
        <v>20</v>
      </c>
      <c r="L77">
        <f t="shared" si="4"/>
        <v>1</v>
      </c>
      <c r="M77">
        <v>10</v>
      </c>
      <c r="N77">
        <v>1</v>
      </c>
      <c r="O77">
        <f t="shared" si="5"/>
        <v>0</v>
      </c>
    </row>
    <row r="78" spans="1:15" x14ac:dyDescent="0.3">
      <c r="A78" t="s">
        <v>15</v>
      </c>
      <c r="B78" t="s">
        <v>73</v>
      </c>
      <c r="C78" t="s">
        <v>74</v>
      </c>
      <c r="D78">
        <v>1</v>
      </c>
      <c r="E78" t="s">
        <v>51</v>
      </c>
      <c r="F78" t="s">
        <v>52</v>
      </c>
      <c r="G78">
        <v>92</v>
      </c>
      <c r="H78">
        <v>0</v>
      </c>
      <c r="I78">
        <v>92</v>
      </c>
      <c r="J78">
        <f t="shared" si="3"/>
        <v>0</v>
      </c>
      <c r="K78" t="s">
        <v>20</v>
      </c>
      <c r="L78">
        <f t="shared" si="4"/>
        <v>1</v>
      </c>
      <c r="M78">
        <v>10</v>
      </c>
      <c r="N78">
        <v>1</v>
      </c>
      <c r="O78">
        <f t="shared" si="5"/>
        <v>0</v>
      </c>
    </row>
    <row r="79" spans="1:15" x14ac:dyDescent="0.3">
      <c r="A79" t="s">
        <v>15</v>
      </c>
      <c r="B79" t="s">
        <v>73</v>
      </c>
      <c r="C79" t="s">
        <v>74</v>
      </c>
      <c r="D79">
        <v>1</v>
      </c>
      <c r="E79" t="s">
        <v>53</v>
      </c>
      <c r="F79" t="s">
        <v>54</v>
      </c>
      <c r="G79">
        <v>47</v>
      </c>
      <c r="H79">
        <v>45</v>
      </c>
      <c r="I79">
        <v>92</v>
      </c>
      <c r="J79">
        <f t="shared" si="3"/>
        <v>2</v>
      </c>
      <c r="K79" t="s">
        <v>20</v>
      </c>
      <c r="L79">
        <f t="shared" si="4"/>
        <v>1</v>
      </c>
      <c r="M79">
        <v>9</v>
      </c>
      <c r="N79">
        <v>4</v>
      </c>
      <c r="O79">
        <f t="shared" si="5"/>
        <v>1</v>
      </c>
    </row>
    <row r="80" spans="1:15" x14ac:dyDescent="0.3">
      <c r="A80" t="s">
        <v>15</v>
      </c>
      <c r="B80" t="s">
        <v>73</v>
      </c>
      <c r="C80" t="s">
        <v>74</v>
      </c>
      <c r="D80">
        <v>1</v>
      </c>
      <c r="E80" t="s">
        <v>55</v>
      </c>
      <c r="F80" t="s">
        <v>56</v>
      </c>
      <c r="G80">
        <v>41</v>
      </c>
      <c r="H80">
        <v>39</v>
      </c>
      <c r="I80">
        <v>80</v>
      </c>
      <c r="J80">
        <f t="shared" si="3"/>
        <v>2</v>
      </c>
      <c r="K80" t="s">
        <v>20</v>
      </c>
      <c r="L80">
        <f t="shared" si="4"/>
        <v>1</v>
      </c>
      <c r="M80">
        <v>8</v>
      </c>
      <c r="N80">
        <v>3</v>
      </c>
      <c r="O80">
        <f t="shared" si="5"/>
        <v>1</v>
      </c>
    </row>
    <row r="81" spans="1:15" x14ac:dyDescent="0.3">
      <c r="A81" t="s">
        <v>15</v>
      </c>
      <c r="B81" t="s">
        <v>73</v>
      </c>
      <c r="C81" t="s">
        <v>74</v>
      </c>
      <c r="D81">
        <v>1</v>
      </c>
      <c r="E81" t="s">
        <v>57</v>
      </c>
      <c r="F81" t="s">
        <v>58</v>
      </c>
      <c r="G81">
        <v>44</v>
      </c>
      <c r="H81">
        <v>36</v>
      </c>
      <c r="I81">
        <v>80</v>
      </c>
      <c r="J81">
        <f t="shared" si="3"/>
        <v>8</v>
      </c>
      <c r="K81" t="s">
        <v>20</v>
      </c>
      <c r="L81">
        <f t="shared" si="4"/>
        <v>1</v>
      </c>
      <c r="M81">
        <v>9</v>
      </c>
      <c r="N81">
        <v>4</v>
      </c>
      <c r="O81">
        <f t="shared" si="5"/>
        <v>1</v>
      </c>
    </row>
    <row r="82" spans="1:15" x14ac:dyDescent="0.3">
      <c r="A82" t="s">
        <v>15</v>
      </c>
      <c r="B82" t="s">
        <v>77</v>
      </c>
      <c r="C82" t="s">
        <v>78</v>
      </c>
      <c r="D82">
        <v>2</v>
      </c>
      <c r="E82" t="s">
        <v>18</v>
      </c>
      <c r="F82" t="s">
        <v>19</v>
      </c>
      <c r="G82">
        <v>43</v>
      </c>
      <c r="H82">
        <v>31</v>
      </c>
      <c r="I82">
        <v>74</v>
      </c>
      <c r="J82">
        <f t="shared" si="3"/>
        <v>12</v>
      </c>
      <c r="K82" t="s">
        <v>20</v>
      </c>
      <c r="L82">
        <f t="shared" si="4"/>
        <v>1</v>
      </c>
      <c r="M82">
        <v>8</v>
      </c>
      <c r="N82">
        <v>4</v>
      </c>
      <c r="O82">
        <f t="shared" si="5"/>
        <v>1</v>
      </c>
    </row>
    <row r="83" spans="1:15" x14ac:dyDescent="0.3">
      <c r="A83" t="s">
        <v>15</v>
      </c>
      <c r="B83" t="s">
        <v>77</v>
      </c>
      <c r="C83" t="s">
        <v>78</v>
      </c>
      <c r="D83">
        <v>2</v>
      </c>
      <c r="E83" t="s">
        <v>21</v>
      </c>
      <c r="F83" t="s">
        <v>22</v>
      </c>
      <c r="G83">
        <v>41</v>
      </c>
      <c r="H83">
        <v>35</v>
      </c>
      <c r="I83">
        <v>76</v>
      </c>
      <c r="J83">
        <f t="shared" si="3"/>
        <v>6</v>
      </c>
      <c r="K83" t="s">
        <v>20</v>
      </c>
      <c r="L83">
        <f t="shared" si="4"/>
        <v>1</v>
      </c>
      <c r="M83">
        <v>8</v>
      </c>
      <c r="N83">
        <v>4</v>
      </c>
      <c r="O83">
        <f t="shared" si="5"/>
        <v>1</v>
      </c>
    </row>
    <row r="84" spans="1:15" x14ac:dyDescent="0.3">
      <c r="A84" t="s">
        <v>15</v>
      </c>
      <c r="B84" t="s">
        <v>77</v>
      </c>
      <c r="C84" t="s">
        <v>78</v>
      </c>
      <c r="D84">
        <v>2</v>
      </c>
      <c r="E84" t="s">
        <v>23</v>
      </c>
      <c r="F84" t="s">
        <v>24</v>
      </c>
      <c r="G84">
        <v>82</v>
      </c>
      <c r="H84">
        <v>0</v>
      </c>
      <c r="I84">
        <v>82</v>
      </c>
      <c r="J84">
        <f t="shared" si="3"/>
        <v>0</v>
      </c>
      <c r="K84" t="s">
        <v>20</v>
      </c>
      <c r="L84">
        <f t="shared" si="4"/>
        <v>1</v>
      </c>
      <c r="M84">
        <v>9</v>
      </c>
      <c r="N84">
        <v>1</v>
      </c>
      <c r="O84">
        <f t="shared" si="5"/>
        <v>0</v>
      </c>
    </row>
    <row r="85" spans="1:15" x14ac:dyDescent="0.3">
      <c r="A85" t="s">
        <v>15</v>
      </c>
      <c r="B85" t="s">
        <v>77</v>
      </c>
      <c r="C85" t="s">
        <v>78</v>
      </c>
      <c r="D85">
        <v>2</v>
      </c>
      <c r="E85" t="s">
        <v>25</v>
      </c>
      <c r="F85" t="s">
        <v>26</v>
      </c>
      <c r="G85">
        <v>40</v>
      </c>
      <c r="H85">
        <v>35</v>
      </c>
      <c r="I85">
        <v>75</v>
      </c>
      <c r="J85">
        <f t="shared" si="3"/>
        <v>5</v>
      </c>
      <c r="K85" t="s">
        <v>20</v>
      </c>
      <c r="L85">
        <f t="shared" si="4"/>
        <v>1</v>
      </c>
      <c r="M85">
        <v>8</v>
      </c>
      <c r="N85">
        <v>1</v>
      </c>
      <c r="O85">
        <f t="shared" si="5"/>
        <v>1</v>
      </c>
    </row>
    <row r="86" spans="1:15" x14ac:dyDescent="0.3">
      <c r="A86" t="s">
        <v>15</v>
      </c>
      <c r="B86" t="s">
        <v>77</v>
      </c>
      <c r="C86" t="s">
        <v>78</v>
      </c>
      <c r="D86">
        <v>2</v>
      </c>
      <c r="E86" t="s">
        <v>27</v>
      </c>
      <c r="F86" t="s">
        <v>28</v>
      </c>
      <c r="G86">
        <v>30</v>
      </c>
      <c r="H86">
        <v>34</v>
      </c>
      <c r="I86">
        <v>64</v>
      </c>
      <c r="J86">
        <f t="shared" si="3"/>
        <v>-4</v>
      </c>
      <c r="K86" t="s">
        <v>20</v>
      </c>
      <c r="L86">
        <f t="shared" si="4"/>
        <v>1</v>
      </c>
      <c r="M86">
        <v>7</v>
      </c>
      <c r="N86">
        <v>2</v>
      </c>
      <c r="O86">
        <f t="shared" si="5"/>
        <v>1</v>
      </c>
    </row>
    <row r="87" spans="1:15" x14ac:dyDescent="0.3">
      <c r="A87" t="s">
        <v>15</v>
      </c>
      <c r="B87" t="s">
        <v>77</v>
      </c>
      <c r="C87" t="s">
        <v>78</v>
      </c>
      <c r="D87">
        <v>2</v>
      </c>
      <c r="E87" t="s">
        <v>65</v>
      </c>
      <c r="F87" t="s">
        <v>66</v>
      </c>
      <c r="G87">
        <v>78</v>
      </c>
      <c r="H87">
        <v>0</v>
      </c>
      <c r="I87">
        <v>78</v>
      </c>
      <c r="J87">
        <f t="shared" si="3"/>
        <v>0</v>
      </c>
      <c r="K87" t="s">
        <v>20</v>
      </c>
      <c r="L87">
        <f t="shared" si="4"/>
        <v>1</v>
      </c>
      <c r="M87">
        <v>8</v>
      </c>
      <c r="N87">
        <v>1</v>
      </c>
      <c r="O87">
        <f t="shared" si="5"/>
        <v>0</v>
      </c>
    </row>
    <row r="88" spans="1:15" x14ac:dyDescent="0.3">
      <c r="A88" t="s">
        <v>15</v>
      </c>
      <c r="B88" t="s">
        <v>77</v>
      </c>
      <c r="C88" t="s">
        <v>78</v>
      </c>
      <c r="D88">
        <v>2</v>
      </c>
      <c r="E88" t="s">
        <v>31</v>
      </c>
      <c r="F88" t="s">
        <v>32</v>
      </c>
      <c r="G88">
        <v>94</v>
      </c>
      <c r="H88">
        <v>0</v>
      </c>
      <c r="I88">
        <v>94</v>
      </c>
      <c r="J88">
        <f t="shared" si="3"/>
        <v>0</v>
      </c>
      <c r="K88" t="s">
        <v>20</v>
      </c>
      <c r="L88">
        <f t="shared" si="4"/>
        <v>1</v>
      </c>
      <c r="M88">
        <v>10</v>
      </c>
      <c r="N88">
        <v>1</v>
      </c>
      <c r="O88">
        <f t="shared" si="5"/>
        <v>0</v>
      </c>
    </row>
    <row r="89" spans="1:15" x14ac:dyDescent="0.3">
      <c r="A89" t="s">
        <v>15</v>
      </c>
      <c r="B89" t="s">
        <v>77</v>
      </c>
      <c r="C89" t="s">
        <v>78</v>
      </c>
      <c r="D89">
        <v>2</v>
      </c>
      <c r="E89" t="s">
        <v>33</v>
      </c>
      <c r="F89" t="s">
        <v>34</v>
      </c>
      <c r="G89">
        <v>46</v>
      </c>
      <c r="H89">
        <v>38</v>
      </c>
      <c r="I89">
        <v>84</v>
      </c>
      <c r="J89">
        <f t="shared" si="3"/>
        <v>8</v>
      </c>
      <c r="K89" t="s">
        <v>20</v>
      </c>
      <c r="L89">
        <f t="shared" si="4"/>
        <v>1</v>
      </c>
      <c r="M89">
        <v>8</v>
      </c>
      <c r="N89">
        <v>4</v>
      </c>
      <c r="O89">
        <f t="shared" si="5"/>
        <v>1</v>
      </c>
    </row>
    <row r="90" spans="1:15" x14ac:dyDescent="0.3">
      <c r="A90" t="s">
        <v>15</v>
      </c>
      <c r="B90" t="s">
        <v>77</v>
      </c>
      <c r="C90" t="s">
        <v>78</v>
      </c>
      <c r="D90">
        <v>2</v>
      </c>
      <c r="E90" t="s">
        <v>35</v>
      </c>
      <c r="F90" t="s">
        <v>36</v>
      </c>
      <c r="G90">
        <v>32</v>
      </c>
      <c r="H90">
        <v>54</v>
      </c>
      <c r="I90">
        <v>86</v>
      </c>
      <c r="J90">
        <f t="shared" si="3"/>
        <v>-22</v>
      </c>
      <c r="K90" t="s">
        <v>20</v>
      </c>
      <c r="L90">
        <f t="shared" si="4"/>
        <v>1</v>
      </c>
      <c r="M90">
        <v>9</v>
      </c>
      <c r="N90">
        <v>3</v>
      </c>
      <c r="O90">
        <f t="shared" si="5"/>
        <v>1</v>
      </c>
    </row>
    <row r="91" spans="1:15" x14ac:dyDescent="0.3">
      <c r="A91" t="s">
        <v>15</v>
      </c>
      <c r="B91" t="s">
        <v>77</v>
      </c>
      <c r="C91" t="s">
        <v>78</v>
      </c>
      <c r="D91">
        <v>2</v>
      </c>
      <c r="E91" t="s">
        <v>37</v>
      </c>
      <c r="F91" t="s">
        <v>38</v>
      </c>
      <c r="G91">
        <v>33</v>
      </c>
      <c r="H91">
        <v>47</v>
      </c>
      <c r="I91">
        <v>80</v>
      </c>
      <c r="J91">
        <f t="shared" si="3"/>
        <v>-14</v>
      </c>
      <c r="K91" t="s">
        <v>20</v>
      </c>
      <c r="L91">
        <f t="shared" si="4"/>
        <v>1</v>
      </c>
      <c r="M91">
        <v>8</v>
      </c>
      <c r="N91">
        <v>3</v>
      </c>
      <c r="O91">
        <f t="shared" si="5"/>
        <v>1</v>
      </c>
    </row>
    <row r="92" spans="1:15" x14ac:dyDescent="0.3">
      <c r="A92" t="s">
        <v>15</v>
      </c>
      <c r="B92" t="s">
        <v>77</v>
      </c>
      <c r="C92" t="s">
        <v>78</v>
      </c>
      <c r="D92">
        <v>1</v>
      </c>
      <c r="E92" t="s">
        <v>39</v>
      </c>
      <c r="F92" t="s">
        <v>40</v>
      </c>
      <c r="G92">
        <v>97</v>
      </c>
      <c r="H92">
        <v>0</v>
      </c>
      <c r="I92">
        <v>97</v>
      </c>
      <c r="J92">
        <f t="shared" si="3"/>
        <v>0</v>
      </c>
      <c r="K92" t="s">
        <v>20</v>
      </c>
      <c r="L92">
        <f t="shared" si="4"/>
        <v>1</v>
      </c>
      <c r="M92">
        <v>10</v>
      </c>
      <c r="N92">
        <v>1</v>
      </c>
      <c r="O92">
        <f t="shared" si="5"/>
        <v>0</v>
      </c>
    </row>
    <row r="93" spans="1:15" x14ac:dyDescent="0.3">
      <c r="A93" t="s">
        <v>15</v>
      </c>
      <c r="B93" t="s">
        <v>77</v>
      </c>
      <c r="C93" t="s">
        <v>78</v>
      </c>
      <c r="D93">
        <v>1</v>
      </c>
      <c r="E93" t="s">
        <v>41</v>
      </c>
      <c r="F93" t="s">
        <v>42</v>
      </c>
      <c r="G93">
        <v>21</v>
      </c>
      <c r="H93">
        <v>46</v>
      </c>
      <c r="I93">
        <v>67</v>
      </c>
      <c r="J93">
        <f t="shared" si="3"/>
        <v>-25</v>
      </c>
      <c r="K93" t="s">
        <v>20</v>
      </c>
      <c r="L93">
        <f t="shared" si="4"/>
        <v>1</v>
      </c>
      <c r="M93">
        <v>8</v>
      </c>
      <c r="N93">
        <v>3</v>
      </c>
      <c r="O93">
        <f t="shared" si="5"/>
        <v>1</v>
      </c>
    </row>
    <row r="94" spans="1:15" x14ac:dyDescent="0.3">
      <c r="A94" t="s">
        <v>15</v>
      </c>
      <c r="B94" t="s">
        <v>77</v>
      </c>
      <c r="C94" t="s">
        <v>78</v>
      </c>
      <c r="D94">
        <v>1</v>
      </c>
      <c r="E94" t="s">
        <v>43</v>
      </c>
      <c r="F94" t="s">
        <v>44</v>
      </c>
      <c r="G94">
        <v>82</v>
      </c>
      <c r="H94">
        <v>0</v>
      </c>
      <c r="I94">
        <v>82</v>
      </c>
      <c r="J94">
        <f t="shared" si="3"/>
        <v>0</v>
      </c>
      <c r="K94" t="s">
        <v>20</v>
      </c>
      <c r="L94">
        <f t="shared" si="4"/>
        <v>1</v>
      </c>
      <c r="M94">
        <v>9</v>
      </c>
      <c r="N94">
        <v>1</v>
      </c>
      <c r="O94">
        <f t="shared" si="5"/>
        <v>0</v>
      </c>
    </row>
    <row r="95" spans="1:15" x14ac:dyDescent="0.3">
      <c r="A95" t="s">
        <v>15</v>
      </c>
      <c r="B95" t="s">
        <v>77</v>
      </c>
      <c r="C95" t="s">
        <v>78</v>
      </c>
      <c r="D95">
        <v>1</v>
      </c>
      <c r="E95" t="s">
        <v>45</v>
      </c>
      <c r="F95" t="s">
        <v>46</v>
      </c>
      <c r="G95">
        <v>30</v>
      </c>
      <c r="H95">
        <v>44</v>
      </c>
      <c r="I95">
        <v>74</v>
      </c>
      <c r="J95">
        <f t="shared" si="3"/>
        <v>-14</v>
      </c>
      <c r="K95" t="s">
        <v>20</v>
      </c>
      <c r="L95">
        <f t="shared" si="4"/>
        <v>1</v>
      </c>
      <c r="M95">
        <v>8</v>
      </c>
      <c r="N95">
        <v>1</v>
      </c>
      <c r="O95">
        <f t="shared" si="5"/>
        <v>1</v>
      </c>
    </row>
    <row r="96" spans="1:15" x14ac:dyDescent="0.3">
      <c r="A96" t="s">
        <v>15</v>
      </c>
      <c r="B96" t="s">
        <v>77</v>
      </c>
      <c r="C96" t="s">
        <v>78</v>
      </c>
      <c r="D96">
        <v>1</v>
      </c>
      <c r="E96" t="s">
        <v>75</v>
      </c>
      <c r="F96" t="s">
        <v>76</v>
      </c>
      <c r="G96">
        <v>87</v>
      </c>
      <c r="H96">
        <v>0</v>
      </c>
      <c r="I96">
        <v>87</v>
      </c>
      <c r="J96">
        <f t="shared" si="3"/>
        <v>0</v>
      </c>
      <c r="K96" t="s">
        <v>20</v>
      </c>
      <c r="L96">
        <f t="shared" si="4"/>
        <v>1</v>
      </c>
      <c r="M96">
        <v>9</v>
      </c>
      <c r="N96">
        <v>1</v>
      </c>
      <c r="O96">
        <f t="shared" si="5"/>
        <v>0</v>
      </c>
    </row>
    <row r="97" spans="1:15" x14ac:dyDescent="0.3">
      <c r="A97" t="s">
        <v>15</v>
      </c>
      <c r="B97" t="s">
        <v>77</v>
      </c>
      <c r="C97" t="s">
        <v>78</v>
      </c>
      <c r="D97">
        <v>1</v>
      </c>
      <c r="E97" t="s">
        <v>49</v>
      </c>
      <c r="F97" t="s">
        <v>50</v>
      </c>
      <c r="G97">
        <v>90</v>
      </c>
      <c r="H97">
        <v>0</v>
      </c>
      <c r="I97">
        <v>90</v>
      </c>
      <c r="J97">
        <f t="shared" si="3"/>
        <v>0</v>
      </c>
      <c r="K97" t="s">
        <v>20</v>
      </c>
      <c r="L97">
        <f t="shared" si="4"/>
        <v>1</v>
      </c>
      <c r="M97">
        <v>9</v>
      </c>
      <c r="N97">
        <v>1</v>
      </c>
      <c r="O97">
        <f t="shared" si="5"/>
        <v>0</v>
      </c>
    </row>
    <row r="98" spans="1:15" x14ac:dyDescent="0.3">
      <c r="A98" t="s">
        <v>15</v>
      </c>
      <c r="B98" t="s">
        <v>77</v>
      </c>
      <c r="C98" t="s">
        <v>78</v>
      </c>
      <c r="D98">
        <v>1</v>
      </c>
      <c r="E98" t="s">
        <v>51</v>
      </c>
      <c r="F98" t="s">
        <v>52</v>
      </c>
      <c r="G98">
        <v>84</v>
      </c>
      <c r="H98">
        <v>0</v>
      </c>
      <c r="I98">
        <v>84</v>
      </c>
      <c r="J98">
        <f t="shared" si="3"/>
        <v>0</v>
      </c>
      <c r="K98" t="s">
        <v>20</v>
      </c>
      <c r="L98">
        <f t="shared" si="4"/>
        <v>1</v>
      </c>
      <c r="M98">
        <v>9</v>
      </c>
      <c r="N98">
        <v>1</v>
      </c>
      <c r="O98">
        <f t="shared" si="5"/>
        <v>0</v>
      </c>
    </row>
    <row r="99" spans="1:15" x14ac:dyDescent="0.3">
      <c r="A99" t="s">
        <v>15</v>
      </c>
      <c r="B99" t="s">
        <v>77</v>
      </c>
      <c r="C99" t="s">
        <v>78</v>
      </c>
      <c r="D99">
        <v>1</v>
      </c>
      <c r="E99" t="s">
        <v>53</v>
      </c>
      <c r="F99" t="s">
        <v>54</v>
      </c>
      <c r="G99">
        <v>44</v>
      </c>
      <c r="H99">
        <v>41</v>
      </c>
      <c r="I99">
        <v>85</v>
      </c>
      <c r="J99">
        <f t="shared" si="3"/>
        <v>3</v>
      </c>
      <c r="K99" t="s">
        <v>20</v>
      </c>
      <c r="L99">
        <f t="shared" si="4"/>
        <v>1</v>
      </c>
      <c r="M99">
        <v>8</v>
      </c>
      <c r="N99">
        <v>4</v>
      </c>
      <c r="O99">
        <f t="shared" si="5"/>
        <v>1</v>
      </c>
    </row>
    <row r="100" spans="1:15" x14ac:dyDescent="0.3">
      <c r="A100" t="s">
        <v>15</v>
      </c>
      <c r="B100" t="s">
        <v>77</v>
      </c>
      <c r="C100" t="s">
        <v>78</v>
      </c>
      <c r="D100">
        <v>1</v>
      </c>
      <c r="E100" t="s">
        <v>55</v>
      </c>
      <c r="F100" t="s">
        <v>56</v>
      </c>
      <c r="G100">
        <v>41</v>
      </c>
      <c r="H100">
        <v>28</v>
      </c>
      <c r="I100">
        <v>69</v>
      </c>
      <c r="J100">
        <f t="shared" si="3"/>
        <v>13</v>
      </c>
      <c r="K100" t="s">
        <v>20</v>
      </c>
      <c r="L100">
        <f t="shared" si="4"/>
        <v>1</v>
      </c>
      <c r="M100">
        <v>7</v>
      </c>
      <c r="N100">
        <v>3</v>
      </c>
      <c r="O100">
        <f t="shared" si="5"/>
        <v>1</v>
      </c>
    </row>
    <row r="101" spans="1:15" x14ac:dyDescent="0.3">
      <c r="A101" t="s">
        <v>15</v>
      </c>
      <c r="B101" t="s">
        <v>77</v>
      </c>
      <c r="C101" t="s">
        <v>78</v>
      </c>
      <c r="D101">
        <v>1</v>
      </c>
      <c r="E101" t="s">
        <v>57</v>
      </c>
      <c r="F101" t="s">
        <v>58</v>
      </c>
      <c r="G101">
        <v>39</v>
      </c>
      <c r="H101">
        <v>28</v>
      </c>
      <c r="I101">
        <v>67</v>
      </c>
      <c r="J101">
        <f t="shared" si="3"/>
        <v>11</v>
      </c>
      <c r="K101" t="s">
        <v>20</v>
      </c>
      <c r="L101">
        <f t="shared" si="4"/>
        <v>1</v>
      </c>
      <c r="M101">
        <v>8</v>
      </c>
      <c r="N101">
        <v>4</v>
      </c>
      <c r="O101">
        <f t="shared" si="5"/>
        <v>1</v>
      </c>
    </row>
    <row r="102" spans="1:15" x14ac:dyDescent="0.3">
      <c r="A102" t="s">
        <v>15</v>
      </c>
      <c r="B102" t="s">
        <v>79</v>
      </c>
      <c r="C102" t="s">
        <v>80</v>
      </c>
      <c r="D102">
        <v>2</v>
      </c>
      <c r="E102" t="s">
        <v>18</v>
      </c>
      <c r="F102" t="s">
        <v>19</v>
      </c>
      <c r="G102">
        <v>45</v>
      </c>
      <c r="H102">
        <v>30</v>
      </c>
      <c r="I102">
        <v>75</v>
      </c>
      <c r="J102">
        <f t="shared" si="3"/>
        <v>15</v>
      </c>
      <c r="K102" t="s">
        <v>20</v>
      </c>
      <c r="L102">
        <f t="shared" si="4"/>
        <v>1</v>
      </c>
      <c r="M102">
        <v>8</v>
      </c>
      <c r="N102">
        <v>4</v>
      </c>
      <c r="O102">
        <f t="shared" si="5"/>
        <v>1</v>
      </c>
    </row>
    <row r="103" spans="1:15" x14ac:dyDescent="0.3">
      <c r="A103" t="s">
        <v>15</v>
      </c>
      <c r="B103" t="s">
        <v>79</v>
      </c>
      <c r="C103" t="s">
        <v>80</v>
      </c>
      <c r="D103">
        <v>2</v>
      </c>
      <c r="E103" t="s">
        <v>21</v>
      </c>
      <c r="F103" t="s">
        <v>22</v>
      </c>
      <c r="G103">
        <v>42</v>
      </c>
      <c r="H103">
        <v>34</v>
      </c>
      <c r="I103">
        <v>76</v>
      </c>
      <c r="J103">
        <f t="shared" si="3"/>
        <v>8</v>
      </c>
      <c r="K103" t="s">
        <v>20</v>
      </c>
      <c r="L103">
        <f t="shared" si="4"/>
        <v>1</v>
      </c>
      <c r="M103">
        <v>8</v>
      </c>
      <c r="N103">
        <v>4</v>
      </c>
      <c r="O103">
        <f t="shared" si="5"/>
        <v>1</v>
      </c>
    </row>
    <row r="104" spans="1:15" x14ac:dyDescent="0.3">
      <c r="A104" t="s">
        <v>15</v>
      </c>
      <c r="B104" t="s">
        <v>79</v>
      </c>
      <c r="C104" t="s">
        <v>80</v>
      </c>
      <c r="D104">
        <v>2</v>
      </c>
      <c r="E104" t="s">
        <v>25</v>
      </c>
      <c r="F104" t="s">
        <v>26</v>
      </c>
      <c r="G104">
        <v>39</v>
      </c>
      <c r="H104">
        <v>35</v>
      </c>
      <c r="I104">
        <v>74</v>
      </c>
      <c r="J104">
        <f t="shared" si="3"/>
        <v>4</v>
      </c>
      <c r="K104" t="s">
        <v>20</v>
      </c>
      <c r="L104">
        <f t="shared" si="4"/>
        <v>1</v>
      </c>
      <c r="M104">
        <v>7</v>
      </c>
      <c r="N104">
        <v>1</v>
      </c>
      <c r="O104">
        <f t="shared" si="5"/>
        <v>1</v>
      </c>
    </row>
    <row r="105" spans="1:15" x14ac:dyDescent="0.3">
      <c r="A105" t="s">
        <v>15</v>
      </c>
      <c r="B105" t="s">
        <v>79</v>
      </c>
      <c r="C105" t="s">
        <v>80</v>
      </c>
      <c r="D105">
        <v>2</v>
      </c>
      <c r="E105" t="s">
        <v>61</v>
      </c>
      <c r="F105" t="s">
        <v>62</v>
      </c>
      <c r="G105">
        <v>31</v>
      </c>
      <c r="H105">
        <v>43</v>
      </c>
      <c r="I105">
        <v>74</v>
      </c>
      <c r="J105">
        <f t="shared" si="3"/>
        <v>-12</v>
      </c>
      <c r="K105" t="s">
        <v>20</v>
      </c>
      <c r="L105">
        <f t="shared" si="4"/>
        <v>1</v>
      </c>
      <c r="M105">
        <v>8</v>
      </c>
      <c r="N105">
        <v>2</v>
      </c>
      <c r="O105">
        <f t="shared" si="5"/>
        <v>1</v>
      </c>
    </row>
    <row r="106" spans="1:15" x14ac:dyDescent="0.3">
      <c r="A106" t="s">
        <v>15</v>
      </c>
      <c r="B106" t="s">
        <v>79</v>
      </c>
      <c r="C106" t="s">
        <v>80</v>
      </c>
      <c r="D106">
        <v>2</v>
      </c>
      <c r="E106" t="s">
        <v>81</v>
      </c>
      <c r="F106" t="s">
        <v>82</v>
      </c>
      <c r="G106">
        <v>51</v>
      </c>
      <c r="H106">
        <v>34</v>
      </c>
      <c r="I106">
        <v>85</v>
      </c>
      <c r="J106">
        <f t="shared" si="3"/>
        <v>17</v>
      </c>
      <c r="K106" t="s">
        <v>20</v>
      </c>
      <c r="L106">
        <f t="shared" si="4"/>
        <v>1</v>
      </c>
      <c r="M106">
        <v>9</v>
      </c>
      <c r="N106">
        <v>3</v>
      </c>
      <c r="O106">
        <f t="shared" si="5"/>
        <v>1</v>
      </c>
    </row>
    <row r="107" spans="1:15" x14ac:dyDescent="0.3">
      <c r="A107" t="s">
        <v>15</v>
      </c>
      <c r="B107" t="s">
        <v>79</v>
      </c>
      <c r="C107" t="s">
        <v>80</v>
      </c>
      <c r="D107">
        <v>2</v>
      </c>
      <c r="E107" t="s">
        <v>33</v>
      </c>
      <c r="F107" t="s">
        <v>34</v>
      </c>
      <c r="G107">
        <v>46</v>
      </c>
      <c r="H107">
        <v>37</v>
      </c>
      <c r="I107">
        <v>83</v>
      </c>
      <c r="J107">
        <f t="shared" si="3"/>
        <v>9</v>
      </c>
      <c r="K107" t="s">
        <v>20</v>
      </c>
      <c r="L107">
        <f t="shared" si="4"/>
        <v>1</v>
      </c>
      <c r="M107">
        <v>8</v>
      </c>
      <c r="N107">
        <v>4</v>
      </c>
      <c r="O107">
        <f t="shared" si="5"/>
        <v>1</v>
      </c>
    </row>
    <row r="108" spans="1:15" x14ac:dyDescent="0.3">
      <c r="A108" t="s">
        <v>15</v>
      </c>
      <c r="B108" t="s">
        <v>79</v>
      </c>
      <c r="C108" t="s">
        <v>80</v>
      </c>
      <c r="D108">
        <v>2</v>
      </c>
      <c r="E108" t="s">
        <v>35</v>
      </c>
      <c r="F108" t="s">
        <v>36</v>
      </c>
      <c r="G108">
        <v>26</v>
      </c>
      <c r="H108">
        <v>40</v>
      </c>
      <c r="I108">
        <v>66</v>
      </c>
      <c r="J108">
        <f t="shared" si="3"/>
        <v>-14</v>
      </c>
      <c r="K108" t="s">
        <v>20</v>
      </c>
      <c r="L108">
        <f t="shared" si="4"/>
        <v>1</v>
      </c>
      <c r="M108">
        <v>7</v>
      </c>
      <c r="N108">
        <v>3</v>
      </c>
      <c r="O108">
        <f t="shared" si="5"/>
        <v>1</v>
      </c>
    </row>
    <row r="109" spans="1:15" x14ac:dyDescent="0.3">
      <c r="A109" t="s">
        <v>15</v>
      </c>
      <c r="B109" t="s">
        <v>79</v>
      </c>
      <c r="C109" t="s">
        <v>80</v>
      </c>
      <c r="D109">
        <v>2</v>
      </c>
      <c r="E109" t="s">
        <v>37</v>
      </c>
      <c r="F109" t="s">
        <v>38</v>
      </c>
      <c r="G109">
        <v>32</v>
      </c>
      <c r="H109">
        <v>40</v>
      </c>
      <c r="I109">
        <v>72</v>
      </c>
      <c r="J109">
        <f t="shared" si="3"/>
        <v>-8</v>
      </c>
      <c r="K109" t="s">
        <v>20</v>
      </c>
      <c r="L109">
        <f t="shared" si="4"/>
        <v>1</v>
      </c>
      <c r="M109">
        <v>8</v>
      </c>
      <c r="N109">
        <v>3</v>
      </c>
      <c r="O109">
        <f t="shared" si="5"/>
        <v>1</v>
      </c>
    </row>
    <row r="110" spans="1:15" x14ac:dyDescent="0.3">
      <c r="A110" t="s">
        <v>15</v>
      </c>
      <c r="B110" t="s">
        <v>79</v>
      </c>
      <c r="C110" t="s">
        <v>80</v>
      </c>
      <c r="D110">
        <v>1</v>
      </c>
      <c r="E110" t="s">
        <v>39</v>
      </c>
      <c r="F110" t="s">
        <v>40</v>
      </c>
      <c r="G110">
        <v>90</v>
      </c>
      <c r="H110">
        <v>0</v>
      </c>
      <c r="I110">
        <v>90</v>
      </c>
      <c r="J110">
        <f t="shared" si="3"/>
        <v>0</v>
      </c>
      <c r="K110" t="s">
        <v>20</v>
      </c>
      <c r="L110">
        <f t="shared" si="4"/>
        <v>1</v>
      </c>
      <c r="M110">
        <v>9</v>
      </c>
      <c r="N110">
        <v>1</v>
      </c>
      <c r="O110">
        <f t="shared" si="5"/>
        <v>0</v>
      </c>
    </row>
    <row r="111" spans="1:15" x14ac:dyDescent="0.3">
      <c r="A111" t="s">
        <v>15</v>
      </c>
      <c r="B111" t="s">
        <v>79</v>
      </c>
      <c r="C111" t="s">
        <v>80</v>
      </c>
      <c r="D111">
        <v>1</v>
      </c>
      <c r="E111" t="s">
        <v>41</v>
      </c>
      <c r="F111" t="s">
        <v>42</v>
      </c>
      <c r="G111">
        <v>23</v>
      </c>
      <c r="H111">
        <v>40</v>
      </c>
      <c r="I111">
        <v>63</v>
      </c>
      <c r="J111">
        <f t="shared" si="3"/>
        <v>-17</v>
      </c>
      <c r="K111" t="s">
        <v>20</v>
      </c>
      <c r="L111">
        <f t="shared" si="4"/>
        <v>1</v>
      </c>
      <c r="M111">
        <v>8</v>
      </c>
      <c r="N111">
        <v>3</v>
      </c>
      <c r="O111">
        <f t="shared" si="5"/>
        <v>1</v>
      </c>
    </row>
    <row r="112" spans="1:15" x14ac:dyDescent="0.3">
      <c r="A112" t="s">
        <v>15</v>
      </c>
      <c r="B112" t="s">
        <v>79</v>
      </c>
      <c r="C112" t="s">
        <v>80</v>
      </c>
      <c r="D112">
        <v>1</v>
      </c>
      <c r="E112" t="s">
        <v>43</v>
      </c>
      <c r="F112" t="s">
        <v>44</v>
      </c>
      <c r="G112">
        <v>87</v>
      </c>
      <c r="H112">
        <v>0</v>
      </c>
      <c r="I112">
        <v>87</v>
      </c>
      <c r="J112">
        <f t="shared" si="3"/>
        <v>0</v>
      </c>
      <c r="K112" t="s">
        <v>20</v>
      </c>
      <c r="L112">
        <f t="shared" si="4"/>
        <v>1</v>
      </c>
      <c r="M112">
        <v>9</v>
      </c>
      <c r="N112">
        <v>1</v>
      </c>
      <c r="O112">
        <f t="shared" si="5"/>
        <v>0</v>
      </c>
    </row>
    <row r="113" spans="1:15" x14ac:dyDescent="0.3">
      <c r="A113" t="s">
        <v>15</v>
      </c>
      <c r="B113" t="s">
        <v>79</v>
      </c>
      <c r="C113" t="s">
        <v>80</v>
      </c>
      <c r="D113">
        <v>1</v>
      </c>
      <c r="E113" t="s">
        <v>45</v>
      </c>
      <c r="F113" t="s">
        <v>46</v>
      </c>
      <c r="G113">
        <v>31</v>
      </c>
      <c r="H113">
        <v>40</v>
      </c>
      <c r="I113">
        <v>71</v>
      </c>
      <c r="J113">
        <f t="shared" si="3"/>
        <v>-9</v>
      </c>
      <c r="K113" t="s">
        <v>20</v>
      </c>
      <c r="L113">
        <f t="shared" si="4"/>
        <v>1</v>
      </c>
      <c r="M113">
        <v>7</v>
      </c>
      <c r="N113">
        <v>1</v>
      </c>
      <c r="O113">
        <f t="shared" si="5"/>
        <v>1</v>
      </c>
    </row>
    <row r="114" spans="1:15" x14ac:dyDescent="0.3">
      <c r="A114" t="s">
        <v>15</v>
      </c>
      <c r="B114" t="s">
        <v>79</v>
      </c>
      <c r="C114" t="s">
        <v>80</v>
      </c>
      <c r="D114">
        <v>1</v>
      </c>
      <c r="E114" t="s">
        <v>83</v>
      </c>
      <c r="F114" t="s">
        <v>84</v>
      </c>
      <c r="G114">
        <v>58</v>
      </c>
      <c r="H114">
        <v>38</v>
      </c>
      <c r="I114">
        <v>96</v>
      </c>
      <c r="J114">
        <f t="shared" si="3"/>
        <v>20</v>
      </c>
      <c r="K114" t="s">
        <v>20</v>
      </c>
      <c r="L114">
        <f t="shared" si="4"/>
        <v>1</v>
      </c>
      <c r="M114">
        <v>10</v>
      </c>
      <c r="N114">
        <v>3</v>
      </c>
      <c r="O114">
        <f t="shared" si="5"/>
        <v>1</v>
      </c>
    </row>
    <row r="115" spans="1:15" x14ac:dyDescent="0.3">
      <c r="A115" t="s">
        <v>15</v>
      </c>
      <c r="B115" t="s">
        <v>79</v>
      </c>
      <c r="C115" t="s">
        <v>80</v>
      </c>
      <c r="D115">
        <v>1</v>
      </c>
      <c r="E115" t="s">
        <v>53</v>
      </c>
      <c r="F115" t="s">
        <v>54</v>
      </c>
      <c r="G115">
        <v>48</v>
      </c>
      <c r="H115">
        <v>45</v>
      </c>
      <c r="I115">
        <v>93</v>
      </c>
      <c r="J115">
        <f t="shared" si="3"/>
        <v>3</v>
      </c>
      <c r="K115" t="s">
        <v>20</v>
      </c>
      <c r="L115">
        <f t="shared" si="4"/>
        <v>1</v>
      </c>
      <c r="M115">
        <v>10</v>
      </c>
      <c r="N115">
        <v>4</v>
      </c>
      <c r="O115">
        <f t="shared" si="5"/>
        <v>1</v>
      </c>
    </row>
    <row r="116" spans="1:15" x14ac:dyDescent="0.3">
      <c r="A116" t="s">
        <v>15</v>
      </c>
      <c r="B116" t="s">
        <v>79</v>
      </c>
      <c r="C116" t="s">
        <v>80</v>
      </c>
      <c r="D116">
        <v>1</v>
      </c>
      <c r="E116" t="s">
        <v>55</v>
      </c>
      <c r="F116" t="s">
        <v>56</v>
      </c>
      <c r="G116">
        <v>45</v>
      </c>
      <c r="H116">
        <v>37</v>
      </c>
      <c r="I116">
        <v>82</v>
      </c>
      <c r="J116">
        <f t="shared" si="3"/>
        <v>8</v>
      </c>
      <c r="K116" t="s">
        <v>20</v>
      </c>
      <c r="L116">
        <f t="shared" si="4"/>
        <v>1</v>
      </c>
      <c r="M116">
        <v>8</v>
      </c>
      <c r="N116">
        <v>3</v>
      </c>
      <c r="O116">
        <f t="shared" si="5"/>
        <v>1</v>
      </c>
    </row>
    <row r="117" spans="1:15" x14ac:dyDescent="0.3">
      <c r="A117" t="s">
        <v>15</v>
      </c>
      <c r="B117" t="s">
        <v>79</v>
      </c>
      <c r="C117" t="s">
        <v>80</v>
      </c>
      <c r="D117">
        <v>1</v>
      </c>
      <c r="E117" t="s">
        <v>57</v>
      </c>
      <c r="F117" t="s">
        <v>58</v>
      </c>
      <c r="G117">
        <v>38</v>
      </c>
      <c r="H117">
        <v>33</v>
      </c>
      <c r="I117">
        <v>71</v>
      </c>
      <c r="J117">
        <f t="shared" si="3"/>
        <v>5</v>
      </c>
      <c r="K117" t="s">
        <v>20</v>
      </c>
      <c r="L117">
        <f t="shared" si="4"/>
        <v>1</v>
      </c>
      <c r="M117">
        <v>8</v>
      </c>
      <c r="N117">
        <v>4</v>
      </c>
      <c r="O117">
        <f t="shared" si="5"/>
        <v>1</v>
      </c>
    </row>
    <row r="118" spans="1:15" x14ac:dyDescent="0.3">
      <c r="A118" t="s">
        <v>15</v>
      </c>
      <c r="B118" t="s">
        <v>85</v>
      </c>
      <c r="C118" t="s">
        <v>86</v>
      </c>
      <c r="D118">
        <v>2</v>
      </c>
      <c r="E118" t="s">
        <v>35</v>
      </c>
      <c r="F118" t="s">
        <v>36</v>
      </c>
      <c r="G118">
        <v>21</v>
      </c>
      <c r="H118">
        <v>23</v>
      </c>
      <c r="I118">
        <v>44</v>
      </c>
      <c r="J118">
        <f t="shared" si="3"/>
        <v>-2</v>
      </c>
      <c r="K118" t="s">
        <v>87</v>
      </c>
      <c r="L118">
        <f t="shared" si="4"/>
        <v>0</v>
      </c>
      <c r="M118">
        <v>0</v>
      </c>
      <c r="N118">
        <v>3</v>
      </c>
      <c r="O118">
        <f t="shared" si="5"/>
        <v>1</v>
      </c>
    </row>
    <row r="119" spans="1:15" x14ac:dyDescent="0.3">
      <c r="A119" t="s">
        <v>15</v>
      </c>
      <c r="B119" t="s">
        <v>85</v>
      </c>
      <c r="C119" t="s">
        <v>86</v>
      </c>
      <c r="D119">
        <v>2</v>
      </c>
      <c r="E119" t="s">
        <v>18</v>
      </c>
      <c r="F119" t="s">
        <v>19</v>
      </c>
      <c r="G119">
        <v>41</v>
      </c>
      <c r="H119">
        <v>26</v>
      </c>
      <c r="I119">
        <v>67</v>
      </c>
      <c r="J119">
        <f t="shared" si="3"/>
        <v>15</v>
      </c>
      <c r="K119" t="s">
        <v>20</v>
      </c>
      <c r="L119">
        <f t="shared" si="4"/>
        <v>1</v>
      </c>
      <c r="M119">
        <v>7</v>
      </c>
      <c r="N119">
        <v>4</v>
      </c>
      <c r="O119">
        <f t="shared" si="5"/>
        <v>1</v>
      </c>
    </row>
    <row r="120" spans="1:15" x14ac:dyDescent="0.3">
      <c r="A120" t="s">
        <v>15</v>
      </c>
      <c r="B120" t="s">
        <v>85</v>
      </c>
      <c r="C120" t="s">
        <v>86</v>
      </c>
      <c r="D120">
        <v>2</v>
      </c>
      <c r="E120" t="s">
        <v>21</v>
      </c>
      <c r="F120" t="s">
        <v>22</v>
      </c>
      <c r="G120">
        <v>34</v>
      </c>
      <c r="H120">
        <v>28</v>
      </c>
      <c r="I120">
        <v>62</v>
      </c>
      <c r="J120">
        <f t="shared" si="3"/>
        <v>6</v>
      </c>
      <c r="K120" t="s">
        <v>20</v>
      </c>
      <c r="L120">
        <f t="shared" si="4"/>
        <v>1</v>
      </c>
      <c r="M120">
        <v>7</v>
      </c>
      <c r="N120">
        <v>4</v>
      </c>
      <c r="O120">
        <f t="shared" si="5"/>
        <v>1</v>
      </c>
    </row>
    <row r="121" spans="1:15" x14ac:dyDescent="0.3">
      <c r="A121" t="s">
        <v>15</v>
      </c>
      <c r="B121" t="s">
        <v>85</v>
      </c>
      <c r="C121" t="s">
        <v>86</v>
      </c>
      <c r="D121">
        <v>2</v>
      </c>
      <c r="E121" t="s">
        <v>41</v>
      </c>
      <c r="F121" t="s">
        <v>42</v>
      </c>
      <c r="G121">
        <v>27</v>
      </c>
      <c r="H121">
        <v>36</v>
      </c>
      <c r="I121">
        <v>63</v>
      </c>
      <c r="J121">
        <f t="shared" si="3"/>
        <v>-9</v>
      </c>
      <c r="K121" t="s">
        <v>20</v>
      </c>
      <c r="L121">
        <f t="shared" si="4"/>
        <v>1</v>
      </c>
      <c r="M121">
        <v>8</v>
      </c>
      <c r="N121">
        <v>3</v>
      </c>
      <c r="O121">
        <f t="shared" si="5"/>
        <v>1</v>
      </c>
    </row>
    <row r="122" spans="1:15" x14ac:dyDescent="0.3">
      <c r="A122" t="s">
        <v>15</v>
      </c>
      <c r="B122" t="s">
        <v>85</v>
      </c>
      <c r="C122" t="s">
        <v>86</v>
      </c>
      <c r="D122">
        <v>2</v>
      </c>
      <c r="E122" t="s">
        <v>23</v>
      </c>
      <c r="F122" t="s">
        <v>24</v>
      </c>
      <c r="G122">
        <v>82</v>
      </c>
      <c r="H122">
        <v>0</v>
      </c>
      <c r="I122">
        <v>82</v>
      </c>
      <c r="J122">
        <f t="shared" si="3"/>
        <v>0</v>
      </c>
      <c r="K122" t="s">
        <v>20</v>
      </c>
      <c r="L122">
        <f t="shared" si="4"/>
        <v>1</v>
      </c>
      <c r="M122">
        <v>9</v>
      </c>
      <c r="N122">
        <v>1</v>
      </c>
      <c r="O122">
        <f t="shared" si="5"/>
        <v>0</v>
      </c>
    </row>
    <row r="123" spans="1:15" x14ac:dyDescent="0.3">
      <c r="A123" t="s">
        <v>15</v>
      </c>
      <c r="B123" t="s">
        <v>85</v>
      </c>
      <c r="C123" t="s">
        <v>86</v>
      </c>
      <c r="D123">
        <v>2</v>
      </c>
      <c r="E123" t="s">
        <v>25</v>
      </c>
      <c r="F123" t="s">
        <v>26</v>
      </c>
      <c r="G123">
        <v>39</v>
      </c>
      <c r="H123">
        <v>36</v>
      </c>
      <c r="I123">
        <v>75</v>
      </c>
      <c r="J123">
        <f t="shared" si="3"/>
        <v>3</v>
      </c>
      <c r="K123" t="s">
        <v>20</v>
      </c>
      <c r="L123">
        <f t="shared" si="4"/>
        <v>1</v>
      </c>
      <c r="M123">
        <v>8</v>
      </c>
      <c r="N123">
        <v>1</v>
      </c>
      <c r="O123">
        <f t="shared" si="5"/>
        <v>1</v>
      </c>
    </row>
    <row r="124" spans="1:15" x14ac:dyDescent="0.3">
      <c r="A124" t="s">
        <v>15</v>
      </c>
      <c r="B124" t="s">
        <v>85</v>
      </c>
      <c r="C124" t="s">
        <v>86</v>
      </c>
      <c r="D124">
        <v>2</v>
      </c>
      <c r="E124" t="s">
        <v>27</v>
      </c>
      <c r="F124" t="s">
        <v>28</v>
      </c>
      <c r="G124">
        <v>23</v>
      </c>
      <c r="H124">
        <v>37</v>
      </c>
      <c r="I124">
        <v>60</v>
      </c>
      <c r="J124">
        <f t="shared" si="3"/>
        <v>-14</v>
      </c>
      <c r="K124" t="s">
        <v>20</v>
      </c>
      <c r="L124">
        <f t="shared" si="4"/>
        <v>1</v>
      </c>
      <c r="M124">
        <v>6</v>
      </c>
      <c r="N124">
        <v>2</v>
      </c>
      <c r="O124">
        <f t="shared" si="5"/>
        <v>1</v>
      </c>
    </row>
    <row r="125" spans="1:15" x14ac:dyDescent="0.3">
      <c r="A125" t="s">
        <v>15</v>
      </c>
      <c r="B125" t="s">
        <v>85</v>
      </c>
      <c r="C125" t="s">
        <v>86</v>
      </c>
      <c r="D125">
        <v>2</v>
      </c>
      <c r="E125" t="s">
        <v>29</v>
      </c>
      <c r="F125" t="s">
        <v>30</v>
      </c>
      <c r="G125">
        <v>67</v>
      </c>
      <c r="H125">
        <v>0</v>
      </c>
      <c r="I125">
        <v>67</v>
      </c>
      <c r="J125">
        <f t="shared" si="3"/>
        <v>0</v>
      </c>
      <c r="K125" t="s">
        <v>20</v>
      </c>
      <c r="L125">
        <f t="shared" si="4"/>
        <v>1</v>
      </c>
      <c r="M125">
        <v>7</v>
      </c>
      <c r="N125">
        <v>1</v>
      </c>
      <c r="O125">
        <f t="shared" si="5"/>
        <v>0</v>
      </c>
    </row>
    <row r="126" spans="1:15" x14ac:dyDescent="0.3">
      <c r="A126" t="s">
        <v>15</v>
      </c>
      <c r="B126" t="s">
        <v>85</v>
      </c>
      <c r="C126" t="s">
        <v>86</v>
      </c>
      <c r="D126">
        <v>2</v>
      </c>
      <c r="E126" t="s">
        <v>31</v>
      </c>
      <c r="F126" t="s">
        <v>32</v>
      </c>
      <c r="G126">
        <v>94</v>
      </c>
      <c r="H126">
        <v>0</v>
      </c>
      <c r="I126">
        <v>94</v>
      </c>
      <c r="J126">
        <f t="shared" si="3"/>
        <v>0</v>
      </c>
      <c r="K126" t="s">
        <v>20</v>
      </c>
      <c r="L126">
        <f t="shared" si="4"/>
        <v>1</v>
      </c>
      <c r="M126">
        <v>10</v>
      </c>
      <c r="N126">
        <v>1</v>
      </c>
      <c r="O126">
        <f t="shared" si="5"/>
        <v>0</v>
      </c>
    </row>
    <row r="127" spans="1:15" x14ac:dyDescent="0.3">
      <c r="A127" t="s">
        <v>15</v>
      </c>
      <c r="B127" t="s">
        <v>85</v>
      </c>
      <c r="C127" t="s">
        <v>86</v>
      </c>
      <c r="D127">
        <v>2</v>
      </c>
      <c r="E127" t="s">
        <v>33</v>
      </c>
      <c r="F127" t="s">
        <v>34</v>
      </c>
      <c r="G127">
        <v>40</v>
      </c>
      <c r="H127">
        <v>30</v>
      </c>
      <c r="I127">
        <v>70</v>
      </c>
      <c r="J127">
        <f t="shared" si="3"/>
        <v>10</v>
      </c>
      <c r="K127" t="s">
        <v>20</v>
      </c>
      <c r="L127">
        <f t="shared" si="4"/>
        <v>1</v>
      </c>
      <c r="M127">
        <v>8</v>
      </c>
      <c r="N127">
        <v>4</v>
      </c>
      <c r="O127">
        <f t="shared" si="5"/>
        <v>1</v>
      </c>
    </row>
    <row r="128" spans="1:15" x14ac:dyDescent="0.3">
      <c r="A128" t="s">
        <v>15</v>
      </c>
      <c r="B128" t="s">
        <v>85</v>
      </c>
      <c r="C128" t="s">
        <v>86</v>
      </c>
      <c r="D128">
        <v>2</v>
      </c>
      <c r="E128" t="s">
        <v>37</v>
      </c>
      <c r="F128" t="s">
        <v>38</v>
      </c>
      <c r="G128">
        <v>22</v>
      </c>
      <c r="H128">
        <v>34</v>
      </c>
      <c r="I128">
        <v>56</v>
      </c>
      <c r="J128">
        <f t="shared" si="3"/>
        <v>-12</v>
      </c>
      <c r="K128" t="s">
        <v>20</v>
      </c>
      <c r="L128">
        <f t="shared" si="4"/>
        <v>1</v>
      </c>
      <c r="M128">
        <v>6</v>
      </c>
      <c r="N128">
        <v>3</v>
      </c>
      <c r="O128">
        <f t="shared" si="5"/>
        <v>1</v>
      </c>
    </row>
    <row r="129" spans="1:15" x14ac:dyDescent="0.3">
      <c r="A129" t="s">
        <v>15</v>
      </c>
      <c r="B129" t="s">
        <v>85</v>
      </c>
      <c r="C129" t="s">
        <v>86</v>
      </c>
      <c r="D129">
        <v>1</v>
      </c>
      <c r="E129" t="s">
        <v>39</v>
      </c>
      <c r="F129" t="s">
        <v>40</v>
      </c>
      <c r="G129">
        <v>87</v>
      </c>
      <c r="H129">
        <v>0</v>
      </c>
      <c r="I129">
        <v>87</v>
      </c>
      <c r="J129">
        <f t="shared" si="3"/>
        <v>0</v>
      </c>
      <c r="K129" t="s">
        <v>20</v>
      </c>
      <c r="L129">
        <f t="shared" si="4"/>
        <v>1</v>
      </c>
      <c r="M129">
        <v>9</v>
      </c>
      <c r="N129">
        <v>1</v>
      </c>
      <c r="O129">
        <f t="shared" si="5"/>
        <v>0</v>
      </c>
    </row>
    <row r="130" spans="1:15" x14ac:dyDescent="0.3">
      <c r="A130" t="s">
        <v>15</v>
      </c>
      <c r="B130" t="s">
        <v>85</v>
      </c>
      <c r="C130" t="s">
        <v>86</v>
      </c>
      <c r="D130">
        <v>1</v>
      </c>
      <c r="E130" t="s">
        <v>41</v>
      </c>
      <c r="F130" t="s">
        <v>42</v>
      </c>
      <c r="G130">
        <v>27</v>
      </c>
      <c r="H130">
        <v>14</v>
      </c>
      <c r="I130">
        <v>41</v>
      </c>
      <c r="J130">
        <f t="shared" ref="J130:J193" si="6">IF(H130=0,0,G130-H130)</f>
        <v>13</v>
      </c>
      <c r="K130" t="s">
        <v>87</v>
      </c>
      <c r="L130">
        <f t="shared" ref="L130:L193" si="7">IF(K130="Pass",1,0)</f>
        <v>0</v>
      </c>
      <c r="M130">
        <v>0</v>
      </c>
      <c r="N130">
        <v>3</v>
      </c>
      <c r="O130">
        <f t="shared" ref="O130:O193" si="8">IF(H130=0,0,1)</f>
        <v>1</v>
      </c>
    </row>
    <row r="131" spans="1:15" x14ac:dyDescent="0.3">
      <c r="A131" t="s">
        <v>15</v>
      </c>
      <c r="B131" t="s">
        <v>85</v>
      </c>
      <c r="C131" t="s">
        <v>86</v>
      </c>
      <c r="D131">
        <v>1</v>
      </c>
      <c r="E131" t="s">
        <v>43</v>
      </c>
      <c r="F131" t="s">
        <v>44</v>
      </c>
      <c r="G131">
        <v>83</v>
      </c>
      <c r="H131">
        <v>0</v>
      </c>
      <c r="I131">
        <v>83</v>
      </c>
      <c r="J131">
        <f t="shared" si="6"/>
        <v>0</v>
      </c>
      <c r="K131" t="s">
        <v>20</v>
      </c>
      <c r="L131">
        <f t="shared" si="7"/>
        <v>1</v>
      </c>
      <c r="M131">
        <v>9</v>
      </c>
      <c r="N131">
        <v>1</v>
      </c>
      <c r="O131">
        <f t="shared" si="8"/>
        <v>0</v>
      </c>
    </row>
    <row r="132" spans="1:15" x14ac:dyDescent="0.3">
      <c r="A132" t="s">
        <v>15</v>
      </c>
      <c r="B132" t="s">
        <v>85</v>
      </c>
      <c r="C132" t="s">
        <v>86</v>
      </c>
      <c r="D132">
        <v>1</v>
      </c>
      <c r="E132" t="s">
        <v>45</v>
      </c>
      <c r="F132" t="s">
        <v>46</v>
      </c>
      <c r="G132">
        <v>32</v>
      </c>
      <c r="H132">
        <v>42</v>
      </c>
      <c r="I132">
        <v>74</v>
      </c>
      <c r="J132">
        <f t="shared" si="6"/>
        <v>-10</v>
      </c>
      <c r="K132" t="s">
        <v>20</v>
      </c>
      <c r="L132">
        <f t="shared" si="7"/>
        <v>1</v>
      </c>
      <c r="M132">
        <v>8</v>
      </c>
      <c r="N132">
        <v>1</v>
      </c>
      <c r="O132">
        <f t="shared" si="8"/>
        <v>1</v>
      </c>
    </row>
    <row r="133" spans="1:15" x14ac:dyDescent="0.3">
      <c r="A133" t="s">
        <v>15</v>
      </c>
      <c r="B133" t="s">
        <v>85</v>
      </c>
      <c r="C133" t="s">
        <v>86</v>
      </c>
      <c r="D133">
        <v>1</v>
      </c>
      <c r="E133" t="s">
        <v>88</v>
      </c>
      <c r="F133" t="s">
        <v>89</v>
      </c>
      <c r="G133">
        <v>99</v>
      </c>
      <c r="H133">
        <v>0</v>
      </c>
      <c r="I133">
        <v>99</v>
      </c>
      <c r="J133">
        <f t="shared" si="6"/>
        <v>0</v>
      </c>
      <c r="K133" t="s">
        <v>20</v>
      </c>
      <c r="L133">
        <f t="shared" si="7"/>
        <v>1</v>
      </c>
      <c r="M133">
        <v>10</v>
      </c>
      <c r="N133">
        <v>1</v>
      </c>
      <c r="O133">
        <f t="shared" si="8"/>
        <v>0</v>
      </c>
    </row>
    <row r="134" spans="1:15" x14ac:dyDescent="0.3">
      <c r="A134" t="s">
        <v>15</v>
      </c>
      <c r="B134" t="s">
        <v>85</v>
      </c>
      <c r="C134" t="s">
        <v>86</v>
      </c>
      <c r="D134">
        <v>1</v>
      </c>
      <c r="E134" t="s">
        <v>49</v>
      </c>
      <c r="F134" t="s">
        <v>50</v>
      </c>
      <c r="G134">
        <v>80</v>
      </c>
      <c r="H134">
        <v>0</v>
      </c>
      <c r="I134">
        <v>80</v>
      </c>
      <c r="J134">
        <f t="shared" si="6"/>
        <v>0</v>
      </c>
      <c r="K134" t="s">
        <v>20</v>
      </c>
      <c r="L134">
        <f t="shared" si="7"/>
        <v>1</v>
      </c>
      <c r="M134">
        <v>8</v>
      </c>
      <c r="N134">
        <v>1</v>
      </c>
      <c r="O134">
        <f t="shared" si="8"/>
        <v>0</v>
      </c>
    </row>
    <row r="135" spans="1:15" x14ac:dyDescent="0.3">
      <c r="A135" t="s">
        <v>15</v>
      </c>
      <c r="B135" t="s">
        <v>85</v>
      </c>
      <c r="C135" t="s">
        <v>86</v>
      </c>
      <c r="D135">
        <v>1</v>
      </c>
      <c r="E135" t="s">
        <v>51</v>
      </c>
      <c r="F135" t="s">
        <v>52</v>
      </c>
      <c r="G135">
        <v>85</v>
      </c>
      <c r="H135">
        <v>0</v>
      </c>
      <c r="I135">
        <v>85</v>
      </c>
      <c r="J135">
        <f t="shared" si="6"/>
        <v>0</v>
      </c>
      <c r="K135" t="s">
        <v>20</v>
      </c>
      <c r="L135">
        <f t="shared" si="7"/>
        <v>1</v>
      </c>
      <c r="M135">
        <v>9</v>
      </c>
      <c r="N135">
        <v>1</v>
      </c>
      <c r="O135">
        <f t="shared" si="8"/>
        <v>0</v>
      </c>
    </row>
    <row r="136" spans="1:15" x14ac:dyDescent="0.3">
      <c r="A136" t="s">
        <v>15</v>
      </c>
      <c r="B136" t="s">
        <v>85</v>
      </c>
      <c r="C136" t="s">
        <v>86</v>
      </c>
      <c r="D136">
        <v>1</v>
      </c>
      <c r="E136" t="s">
        <v>53</v>
      </c>
      <c r="F136" t="s">
        <v>54</v>
      </c>
      <c r="G136">
        <v>42</v>
      </c>
      <c r="H136">
        <v>38</v>
      </c>
      <c r="I136">
        <v>80</v>
      </c>
      <c r="J136">
        <f t="shared" si="6"/>
        <v>4</v>
      </c>
      <c r="K136" t="s">
        <v>20</v>
      </c>
      <c r="L136">
        <f t="shared" si="7"/>
        <v>1</v>
      </c>
      <c r="M136">
        <v>8</v>
      </c>
      <c r="N136">
        <v>4</v>
      </c>
      <c r="O136">
        <f t="shared" si="8"/>
        <v>1</v>
      </c>
    </row>
    <row r="137" spans="1:15" x14ac:dyDescent="0.3">
      <c r="A137" t="s">
        <v>15</v>
      </c>
      <c r="B137" t="s">
        <v>85</v>
      </c>
      <c r="C137" t="s">
        <v>86</v>
      </c>
      <c r="D137">
        <v>1</v>
      </c>
      <c r="E137" t="s">
        <v>55</v>
      </c>
      <c r="F137" t="s">
        <v>56</v>
      </c>
      <c r="G137">
        <v>39</v>
      </c>
      <c r="H137">
        <v>38</v>
      </c>
      <c r="I137">
        <v>77</v>
      </c>
      <c r="J137">
        <f t="shared" si="6"/>
        <v>1</v>
      </c>
      <c r="K137" t="s">
        <v>20</v>
      </c>
      <c r="L137">
        <f t="shared" si="7"/>
        <v>1</v>
      </c>
      <c r="M137">
        <v>8</v>
      </c>
      <c r="N137">
        <v>3</v>
      </c>
      <c r="O137">
        <f t="shared" si="8"/>
        <v>1</v>
      </c>
    </row>
    <row r="138" spans="1:15" x14ac:dyDescent="0.3">
      <c r="A138" t="s">
        <v>15</v>
      </c>
      <c r="B138" t="s">
        <v>85</v>
      </c>
      <c r="C138" t="s">
        <v>86</v>
      </c>
      <c r="D138">
        <v>1</v>
      </c>
      <c r="E138" t="s">
        <v>57</v>
      </c>
      <c r="F138" t="s">
        <v>58</v>
      </c>
      <c r="G138">
        <v>35</v>
      </c>
      <c r="H138">
        <v>33</v>
      </c>
      <c r="I138">
        <v>68</v>
      </c>
      <c r="J138">
        <f t="shared" si="6"/>
        <v>2</v>
      </c>
      <c r="K138" t="s">
        <v>20</v>
      </c>
      <c r="L138">
        <f t="shared" si="7"/>
        <v>1</v>
      </c>
      <c r="M138">
        <v>8</v>
      </c>
      <c r="N138">
        <v>4</v>
      </c>
      <c r="O138">
        <f t="shared" si="8"/>
        <v>1</v>
      </c>
    </row>
    <row r="139" spans="1:15" x14ac:dyDescent="0.3">
      <c r="A139" t="s">
        <v>15</v>
      </c>
      <c r="B139" t="s">
        <v>90</v>
      </c>
      <c r="C139" t="s">
        <v>91</v>
      </c>
      <c r="D139">
        <v>2</v>
      </c>
      <c r="E139" t="s">
        <v>18</v>
      </c>
      <c r="F139" t="s">
        <v>19</v>
      </c>
      <c r="G139">
        <v>44</v>
      </c>
      <c r="H139">
        <v>42</v>
      </c>
      <c r="I139">
        <v>86</v>
      </c>
      <c r="J139">
        <f t="shared" si="6"/>
        <v>2</v>
      </c>
      <c r="K139" t="s">
        <v>20</v>
      </c>
      <c r="L139">
        <f t="shared" si="7"/>
        <v>1</v>
      </c>
      <c r="M139">
        <v>8</v>
      </c>
      <c r="N139">
        <v>4</v>
      </c>
      <c r="O139">
        <f t="shared" si="8"/>
        <v>1</v>
      </c>
    </row>
    <row r="140" spans="1:15" x14ac:dyDescent="0.3">
      <c r="A140" t="s">
        <v>15</v>
      </c>
      <c r="B140" t="s">
        <v>90</v>
      </c>
      <c r="C140" t="s">
        <v>91</v>
      </c>
      <c r="D140">
        <v>2</v>
      </c>
      <c r="E140" t="s">
        <v>21</v>
      </c>
      <c r="F140" t="s">
        <v>22</v>
      </c>
      <c r="G140">
        <v>41</v>
      </c>
      <c r="H140">
        <v>39</v>
      </c>
      <c r="I140">
        <v>80</v>
      </c>
      <c r="J140">
        <f t="shared" si="6"/>
        <v>2</v>
      </c>
      <c r="K140" t="s">
        <v>20</v>
      </c>
      <c r="L140">
        <f t="shared" si="7"/>
        <v>1</v>
      </c>
      <c r="M140">
        <v>8</v>
      </c>
      <c r="N140">
        <v>4</v>
      </c>
      <c r="O140">
        <f t="shared" si="8"/>
        <v>1</v>
      </c>
    </row>
    <row r="141" spans="1:15" x14ac:dyDescent="0.3">
      <c r="A141" t="s">
        <v>15</v>
      </c>
      <c r="B141" t="s">
        <v>90</v>
      </c>
      <c r="C141" t="s">
        <v>91</v>
      </c>
      <c r="D141">
        <v>2</v>
      </c>
      <c r="E141" t="s">
        <v>23</v>
      </c>
      <c r="F141" t="s">
        <v>24</v>
      </c>
      <c r="G141">
        <v>85</v>
      </c>
      <c r="H141">
        <v>0</v>
      </c>
      <c r="I141">
        <v>85</v>
      </c>
      <c r="J141">
        <f t="shared" si="6"/>
        <v>0</v>
      </c>
      <c r="K141" t="s">
        <v>20</v>
      </c>
      <c r="L141">
        <f t="shared" si="7"/>
        <v>1</v>
      </c>
      <c r="M141">
        <v>9</v>
      </c>
      <c r="N141">
        <v>1</v>
      </c>
      <c r="O141">
        <f t="shared" si="8"/>
        <v>0</v>
      </c>
    </row>
    <row r="142" spans="1:15" x14ac:dyDescent="0.3">
      <c r="A142" t="s">
        <v>15</v>
      </c>
      <c r="B142" t="s">
        <v>90</v>
      </c>
      <c r="C142" t="s">
        <v>91</v>
      </c>
      <c r="D142">
        <v>2</v>
      </c>
      <c r="E142" t="s">
        <v>25</v>
      </c>
      <c r="F142" t="s">
        <v>26</v>
      </c>
      <c r="G142">
        <v>40</v>
      </c>
      <c r="H142">
        <v>38</v>
      </c>
      <c r="I142">
        <v>78</v>
      </c>
      <c r="J142">
        <f t="shared" si="6"/>
        <v>2</v>
      </c>
      <c r="K142" t="s">
        <v>20</v>
      </c>
      <c r="L142">
        <f t="shared" si="7"/>
        <v>1</v>
      </c>
      <c r="M142">
        <v>8</v>
      </c>
      <c r="N142">
        <v>1</v>
      </c>
      <c r="O142">
        <f t="shared" si="8"/>
        <v>1</v>
      </c>
    </row>
    <row r="143" spans="1:15" x14ac:dyDescent="0.3">
      <c r="A143" t="s">
        <v>15</v>
      </c>
      <c r="B143" t="s">
        <v>90</v>
      </c>
      <c r="C143" t="s">
        <v>91</v>
      </c>
      <c r="D143">
        <v>2</v>
      </c>
      <c r="E143" t="s">
        <v>27</v>
      </c>
      <c r="F143" t="s">
        <v>28</v>
      </c>
      <c r="G143">
        <v>31</v>
      </c>
      <c r="H143">
        <v>42</v>
      </c>
      <c r="I143">
        <v>73</v>
      </c>
      <c r="J143">
        <f t="shared" si="6"/>
        <v>-11</v>
      </c>
      <c r="K143" t="s">
        <v>20</v>
      </c>
      <c r="L143">
        <f t="shared" si="7"/>
        <v>1</v>
      </c>
      <c r="M143">
        <v>7</v>
      </c>
      <c r="N143">
        <v>2</v>
      </c>
      <c r="O143">
        <f t="shared" si="8"/>
        <v>1</v>
      </c>
    </row>
    <row r="144" spans="1:15" x14ac:dyDescent="0.3">
      <c r="A144" t="s">
        <v>15</v>
      </c>
      <c r="B144" t="s">
        <v>90</v>
      </c>
      <c r="C144" t="s">
        <v>91</v>
      </c>
      <c r="D144">
        <v>2</v>
      </c>
      <c r="E144" t="s">
        <v>92</v>
      </c>
      <c r="F144" t="s">
        <v>93</v>
      </c>
      <c r="G144">
        <v>85</v>
      </c>
      <c r="H144">
        <v>0</v>
      </c>
      <c r="I144">
        <v>85</v>
      </c>
      <c r="J144">
        <f t="shared" si="6"/>
        <v>0</v>
      </c>
      <c r="K144" t="s">
        <v>20</v>
      </c>
      <c r="L144">
        <f t="shared" si="7"/>
        <v>1</v>
      </c>
      <c r="M144">
        <v>9</v>
      </c>
      <c r="N144">
        <v>1</v>
      </c>
      <c r="O144">
        <f t="shared" si="8"/>
        <v>0</v>
      </c>
    </row>
    <row r="145" spans="1:15" x14ac:dyDescent="0.3">
      <c r="A145" t="s">
        <v>15</v>
      </c>
      <c r="B145" t="s">
        <v>90</v>
      </c>
      <c r="C145" t="s">
        <v>91</v>
      </c>
      <c r="D145">
        <v>2</v>
      </c>
      <c r="E145" t="s">
        <v>31</v>
      </c>
      <c r="F145" t="s">
        <v>32</v>
      </c>
      <c r="G145">
        <v>96</v>
      </c>
      <c r="H145">
        <v>0</v>
      </c>
      <c r="I145">
        <v>96</v>
      </c>
      <c r="J145">
        <f t="shared" si="6"/>
        <v>0</v>
      </c>
      <c r="K145" t="s">
        <v>20</v>
      </c>
      <c r="L145">
        <f t="shared" si="7"/>
        <v>1</v>
      </c>
      <c r="M145">
        <v>10</v>
      </c>
      <c r="N145">
        <v>1</v>
      </c>
      <c r="O145">
        <f t="shared" si="8"/>
        <v>0</v>
      </c>
    </row>
    <row r="146" spans="1:15" x14ac:dyDescent="0.3">
      <c r="A146" t="s">
        <v>15</v>
      </c>
      <c r="B146" t="s">
        <v>90</v>
      </c>
      <c r="C146" t="s">
        <v>91</v>
      </c>
      <c r="D146">
        <v>2</v>
      </c>
      <c r="E146" t="s">
        <v>33</v>
      </c>
      <c r="F146" t="s">
        <v>34</v>
      </c>
      <c r="G146">
        <v>45</v>
      </c>
      <c r="H146">
        <v>36</v>
      </c>
      <c r="I146">
        <v>81</v>
      </c>
      <c r="J146">
        <f t="shared" si="6"/>
        <v>9</v>
      </c>
      <c r="K146" t="s">
        <v>20</v>
      </c>
      <c r="L146">
        <f t="shared" si="7"/>
        <v>1</v>
      </c>
      <c r="M146">
        <v>8</v>
      </c>
      <c r="N146">
        <v>4</v>
      </c>
      <c r="O146">
        <f t="shared" si="8"/>
        <v>1</v>
      </c>
    </row>
    <row r="147" spans="1:15" x14ac:dyDescent="0.3">
      <c r="A147" t="s">
        <v>15</v>
      </c>
      <c r="B147" t="s">
        <v>90</v>
      </c>
      <c r="C147" t="s">
        <v>91</v>
      </c>
      <c r="D147">
        <v>2</v>
      </c>
      <c r="E147" t="s">
        <v>35</v>
      </c>
      <c r="F147" t="s">
        <v>36</v>
      </c>
      <c r="G147">
        <v>24</v>
      </c>
      <c r="H147">
        <v>52</v>
      </c>
      <c r="I147">
        <v>76</v>
      </c>
      <c r="J147">
        <f t="shared" si="6"/>
        <v>-28</v>
      </c>
      <c r="K147" t="s">
        <v>20</v>
      </c>
      <c r="L147">
        <f t="shared" si="7"/>
        <v>1</v>
      </c>
      <c r="M147">
        <v>8</v>
      </c>
      <c r="N147">
        <v>3</v>
      </c>
      <c r="O147">
        <f t="shared" si="8"/>
        <v>1</v>
      </c>
    </row>
    <row r="148" spans="1:15" x14ac:dyDescent="0.3">
      <c r="A148" t="s">
        <v>15</v>
      </c>
      <c r="B148" t="s">
        <v>90</v>
      </c>
      <c r="C148" t="s">
        <v>91</v>
      </c>
      <c r="D148">
        <v>2</v>
      </c>
      <c r="E148" t="s">
        <v>37</v>
      </c>
      <c r="F148" t="s">
        <v>38</v>
      </c>
      <c r="G148">
        <v>31</v>
      </c>
      <c r="H148">
        <v>46</v>
      </c>
      <c r="I148">
        <v>77</v>
      </c>
      <c r="J148">
        <f t="shared" si="6"/>
        <v>-15</v>
      </c>
      <c r="K148" t="s">
        <v>20</v>
      </c>
      <c r="L148">
        <f t="shared" si="7"/>
        <v>1</v>
      </c>
      <c r="M148">
        <v>8</v>
      </c>
      <c r="N148">
        <v>3</v>
      </c>
      <c r="O148">
        <f t="shared" si="8"/>
        <v>1</v>
      </c>
    </row>
    <row r="149" spans="1:15" x14ac:dyDescent="0.3">
      <c r="A149" t="s">
        <v>15</v>
      </c>
      <c r="B149" t="s">
        <v>90</v>
      </c>
      <c r="C149" t="s">
        <v>91</v>
      </c>
      <c r="D149">
        <v>1</v>
      </c>
      <c r="E149" t="s">
        <v>39</v>
      </c>
      <c r="F149" t="s">
        <v>40</v>
      </c>
      <c r="G149">
        <v>89</v>
      </c>
      <c r="H149">
        <v>0</v>
      </c>
      <c r="I149">
        <v>89</v>
      </c>
      <c r="J149">
        <f t="shared" si="6"/>
        <v>0</v>
      </c>
      <c r="K149" t="s">
        <v>20</v>
      </c>
      <c r="L149">
        <f t="shared" si="7"/>
        <v>1</v>
      </c>
      <c r="M149">
        <v>9</v>
      </c>
      <c r="N149">
        <v>1</v>
      </c>
      <c r="O149">
        <f t="shared" si="8"/>
        <v>0</v>
      </c>
    </row>
    <row r="150" spans="1:15" x14ac:dyDescent="0.3">
      <c r="A150" t="s">
        <v>15</v>
      </c>
      <c r="B150" t="s">
        <v>90</v>
      </c>
      <c r="C150" t="s">
        <v>91</v>
      </c>
      <c r="D150">
        <v>1</v>
      </c>
      <c r="E150" t="s">
        <v>41</v>
      </c>
      <c r="F150" t="s">
        <v>42</v>
      </c>
      <c r="G150">
        <v>28</v>
      </c>
      <c r="H150">
        <v>49</v>
      </c>
      <c r="I150">
        <v>77</v>
      </c>
      <c r="J150">
        <f t="shared" si="6"/>
        <v>-21</v>
      </c>
      <c r="K150" t="s">
        <v>20</v>
      </c>
      <c r="L150">
        <f t="shared" si="7"/>
        <v>1</v>
      </c>
      <c r="M150">
        <v>10</v>
      </c>
      <c r="N150">
        <v>3</v>
      </c>
      <c r="O150">
        <f t="shared" si="8"/>
        <v>1</v>
      </c>
    </row>
    <row r="151" spans="1:15" x14ac:dyDescent="0.3">
      <c r="A151" t="s">
        <v>15</v>
      </c>
      <c r="B151" t="s">
        <v>90</v>
      </c>
      <c r="C151" t="s">
        <v>91</v>
      </c>
      <c r="D151">
        <v>1</v>
      </c>
      <c r="E151" t="s">
        <v>43</v>
      </c>
      <c r="F151" t="s">
        <v>44</v>
      </c>
      <c r="G151">
        <v>50</v>
      </c>
      <c r="H151">
        <v>0</v>
      </c>
      <c r="I151">
        <v>50</v>
      </c>
      <c r="J151">
        <f t="shared" si="6"/>
        <v>0</v>
      </c>
      <c r="K151" t="s">
        <v>20</v>
      </c>
      <c r="L151">
        <f t="shared" si="7"/>
        <v>1</v>
      </c>
      <c r="M151">
        <v>5</v>
      </c>
      <c r="N151">
        <v>1</v>
      </c>
      <c r="O151">
        <f t="shared" si="8"/>
        <v>0</v>
      </c>
    </row>
    <row r="152" spans="1:15" x14ac:dyDescent="0.3">
      <c r="A152" t="s">
        <v>15</v>
      </c>
      <c r="B152" t="s">
        <v>90</v>
      </c>
      <c r="C152" t="s">
        <v>91</v>
      </c>
      <c r="D152">
        <v>1</v>
      </c>
      <c r="E152" t="s">
        <v>45</v>
      </c>
      <c r="F152" t="s">
        <v>46</v>
      </c>
      <c r="G152">
        <v>27</v>
      </c>
      <c r="H152">
        <v>38</v>
      </c>
      <c r="I152">
        <v>65</v>
      </c>
      <c r="J152">
        <f t="shared" si="6"/>
        <v>-11</v>
      </c>
      <c r="K152" t="s">
        <v>20</v>
      </c>
      <c r="L152">
        <f t="shared" si="7"/>
        <v>1</v>
      </c>
      <c r="M152">
        <v>7</v>
      </c>
      <c r="N152">
        <v>1</v>
      </c>
      <c r="O152">
        <f t="shared" si="8"/>
        <v>1</v>
      </c>
    </row>
    <row r="153" spans="1:15" x14ac:dyDescent="0.3">
      <c r="A153" t="s">
        <v>15</v>
      </c>
      <c r="B153" t="s">
        <v>90</v>
      </c>
      <c r="C153" t="s">
        <v>91</v>
      </c>
      <c r="D153">
        <v>1</v>
      </c>
      <c r="E153" t="s">
        <v>65</v>
      </c>
      <c r="F153" t="s">
        <v>66</v>
      </c>
      <c r="G153">
        <v>84</v>
      </c>
      <c r="H153">
        <v>0</v>
      </c>
      <c r="I153">
        <v>84</v>
      </c>
      <c r="J153">
        <f t="shared" si="6"/>
        <v>0</v>
      </c>
      <c r="K153" t="s">
        <v>20</v>
      </c>
      <c r="L153">
        <f t="shared" si="7"/>
        <v>1</v>
      </c>
      <c r="M153">
        <v>9</v>
      </c>
      <c r="N153">
        <v>1</v>
      </c>
      <c r="O153">
        <f t="shared" si="8"/>
        <v>0</v>
      </c>
    </row>
    <row r="154" spans="1:15" x14ac:dyDescent="0.3">
      <c r="A154" t="s">
        <v>15</v>
      </c>
      <c r="B154" t="s">
        <v>90</v>
      </c>
      <c r="C154" t="s">
        <v>91</v>
      </c>
      <c r="D154">
        <v>1</v>
      </c>
      <c r="E154" t="s">
        <v>49</v>
      </c>
      <c r="F154" t="s">
        <v>50</v>
      </c>
      <c r="G154">
        <v>80</v>
      </c>
      <c r="H154">
        <v>0</v>
      </c>
      <c r="I154">
        <v>80</v>
      </c>
      <c r="J154">
        <f t="shared" si="6"/>
        <v>0</v>
      </c>
      <c r="K154" t="s">
        <v>20</v>
      </c>
      <c r="L154">
        <f t="shared" si="7"/>
        <v>1</v>
      </c>
      <c r="M154">
        <v>8</v>
      </c>
      <c r="N154">
        <v>1</v>
      </c>
      <c r="O154">
        <f t="shared" si="8"/>
        <v>0</v>
      </c>
    </row>
    <row r="155" spans="1:15" x14ac:dyDescent="0.3">
      <c r="A155" t="s">
        <v>15</v>
      </c>
      <c r="B155" t="s">
        <v>90</v>
      </c>
      <c r="C155" t="s">
        <v>91</v>
      </c>
      <c r="D155">
        <v>1</v>
      </c>
      <c r="E155" t="s">
        <v>51</v>
      </c>
      <c r="F155" t="s">
        <v>52</v>
      </c>
      <c r="G155">
        <v>86</v>
      </c>
      <c r="H155">
        <v>0</v>
      </c>
      <c r="I155">
        <v>86</v>
      </c>
      <c r="J155">
        <f t="shared" si="6"/>
        <v>0</v>
      </c>
      <c r="K155" t="s">
        <v>20</v>
      </c>
      <c r="L155">
        <f t="shared" si="7"/>
        <v>1</v>
      </c>
      <c r="M155">
        <v>9</v>
      </c>
      <c r="N155">
        <v>1</v>
      </c>
      <c r="O155">
        <f t="shared" si="8"/>
        <v>0</v>
      </c>
    </row>
    <row r="156" spans="1:15" x14ac:dyDescent="0.3">
      <c r="A156" t="s">
        <v>15</v>
      </c>
      <c r="B156" t="s">
        <v>90</v>
      </c>
      <c r="C156" t="s">
        <v>91</v>
      </c>
      <c r="D156">
        <v>1</v>
      </c>
      <c r="E156" t="s">
        <v>53</v>
      </c>
      <c r="F156" t="s">
        <v>54</v>
      </c>
      <c r="G156">
        <v>44</v>
      </c>
      <c r="H156">
        <v>46</v>
      </c>
      <c r="I156">
        <v>90</v>
      </c>
      <c r="J156">
        <f t="shared" si="6"/>
        <v>-2</v>
      </c>
      <c r="K156" t="s">
        <v>20</v>
      </c>
      <c r="L156">
        <f t="shared" si="7"/>
        <v>1</v>
      </c>
      <c r="M156">
        <v>9</v>
      </c>
      <c r="N156">
        <v>4</v>
      </c>
      <c r="O156">
        <f t="shared" si="8"/>
        <v>1</v>
      </c>
    </row>
    <row r="157" spans="1:15" x14ac:dyDescent="0.3">
      <c r="A157" t="s">
        <v>15</v>
      </c>
      <c r="B157" t="s">
        <v>90</v>
      </c>
      <c r="C157" t="s">
        <v>91</v>
      </c>
      <c r="D157">
        <v>1</v>
      </c>
      <c r="E157" t="s">
        <v>55</v>
      </c>
      <c r="F157" t="s">
        <v>56</v>
      </c>
      <c r="G157">
        <v>44</v>
      </c>
      <c r="H157">
        <v>40</v>
      </c>
      <c r="I157">
        <v>84</v>
      </c>
      <c r="J157">
        <f t="shared" si="6"/>
        <v>4</v>
      </c>
      <c r="K157" t="s">
        <v>20</v>
      </c>
      <c r="L157">
        <f t="shared" si="7"/>
        <v>1</v>
      </c>
      <c r="M157">
        <v>8</v>
      </c>
      <c r="N157">
        <v>3</v>
      </c>
      <c r="O157">
        <f t="shared" si="8"/>
        <v>1</v>
      </c>
    </row>
    <row r="158" spans="1:15" x14ac:dyDescent="0.3">
      <c r="A158" t="s">
        <v>15</v>
      </c>
      <c r="B158" t="s">
        <v>90</v>
      </c>
      <c r="C158" t="s">
        <v>91</v>
      </c>
      <c r="D158">
        <v>1</v>
      </c>
      <c r="E158" t="s">
        <v>57</v>
      </c>
      <c r="F158" t="s">
        <v>58</v>
      </c>
      <c r="G158">
        <v>41</v>
      </c>
      <c r="H158">
        <v>44</v>
      </c>
      <c r="I158">
        <v>85</v>
      </c>
      <c r="J158">
        <f t="shared" si="6"/>
        <v>-3</v>
      </c>
      <c r="K158" t="s">
        <v>20</v>
      </c>
      <c r="L158">
        <f t="shared" si="7"/>
        <v>1</v>
      </c>
      <c r="M158">
        <v>9</v>
      </c>
      <c r="N158">
        <v>4</v>
      </c>
      <c r="O158">
        <f t="shared" si="8"/>
        <v>1</v>
      </c>
    </row>
    <row r="159" spans="1:15" x14ac:dyDescent="0.3">
      <c r="A159" t="s">
        <v>15</v>
      </c>
      <c r="B159" t="s">
        <v>94</v>
      </c>
      <c r="C159" t="s">
        <v>95</v>
      </c>
      <c r="D159">
        <v>2</v>
      </c>
      <c r="E159" t="s">
        <v>18</v>
      </c>
      <c r="F159" t="s">
        <v>19</v>
      </c>
      <c r="G159">
        <v>43</v>
      </c>
      <c r="H159">
        <v>30</v>
      </c>
      <c r="I159">
        <v>73</v>
      </c>
      <c r="J159">
        <f t="shared" si="6"/>
        <v>13</v>
      </c>
      <c r="K159" t="s">
        <v>20</v>
      </c>
      <c r="L159">
        <f t="shared" si="7"/>
        <v>1</v>
      </c>
      <c r="M159">
        <v>8</v>
      </c>
      <c r="N159">
        <v>4</v>
      </c>
      <c r="O159">
        <f t="shared" si="8"/>
        <v>1</v>
      </c>
    </row>
    <row r="160" spans="1:15" x14ac:dyDescent="0.3">
      <c r="A160" t="s">
        <v>15</v>
      </c>
      <c r="B160" t="s">
        <v>94</v>
      </c>
      <c r="C160" t="s">
        <v>95</v>
      </c>
      <c r="D160">
        <v>2</v>
      </c>
      <c r="E160" t="s">
        <v>21</v>
      </c>
      <c r="F160" t="s">
        <v>22</v>
      </c>
      <c r="G160">
        <v>40</v>
      </c>
      <c r="H160">
        <v>34</v>
      </c>
      <c r="I160">
        <v>74</v>
      </c>
      <c r="J160">
        <f t="shared" si="6"/>
        <v>6</v>
      </c>
      <c r="K160" t="s">
        <v>20</v>
      </c>
      <c r="L160">
        <f t="shared" si="7"/>
        <v>1</v>
      </c>
      <c r="M160">
        <v>8</v>
      </c>
      <c r="N160">
        <v>4</v>
      </c>
      <c r="O160">
        <f t="shared" si="8"/>
        <v>1</v>
      </c>
    </row>
    <row r="161" spans="1:15" x14ac:dyDescent="0.3">
      <c r="A161" t="s">
        <v>15</v>
      </c>
      <c r="B161" t="s">
        <v>94</v>
      </c>
      <c r="C161" t="s">
        <v>95</v>
      </c>
      <c r="D161">
        <v>2</v>
      </c>
      <c r="E161" t="s">
        <v>25</v>
      </c>
      <c r="F161" t="s">
        <v>26</v>
      </c>
      <c r="G161">
        <v>36</v>
      </c>
      <c r="H161">
        <v>36</v>
      </c>
      <c r="I161">
        <v>72</v>
      </c>
      <c r="J161">
        <f t="shared" si="6"/>
        <v>0</v>
      </c>
      <c r="K161" t="s">
        <v>20</v>
      </c>
      <c r="L161">
        <f t="shared" si="7"/>
        <v>1</v>
      </c>
      <c r="M161">
        <v>7</v>
      </c>
      <c r="N161">
        <v>1</v>
      </c>
      <c r="O161">
        <f t="shared" si="8"/>
        <v>1</v>
      </c>
    </row>
    <row r="162" spans="1:15" x14ac:dyDescent="0.3">
      <c r="A162" t="s">
        <v>15</v>
      </c>
      <c r="B162" t="s">
        <v>94</v>
      </c>
      <c r="C162" t="s">
        <v>95</v>
      </c>
      <c r="D162">
        <v>2</v>
      </c>
      <c r="E162" t="s">
        <v>61</v>
      </c>
      <c r="F162" t="s">
        <v>62</v>
      </c>
      <c r="G162">
        <v>25</v>
      </c>
      <c r="H162">
        <v>43</v>
      </c>
      <c r="I162">
        <v>68</v>
      </c>
      <c r="J162">
        <f t="shared" si="6"/>
        <v>-18</v>
      </c>
      <c r="K162" t="s">
        <v>20</v>
      </c>
      <c r="L162">
        <f t="shared" si="7"/>
        <v>1</v>
      </c>
      <c r="M162">
        <v>7</v>
      </c>
      <c r="N162">
        <v>2</v>
      </c>
      <c r="O162">
        <f t="shared" si="8"/>
        <v>1</v>
      </c>
    </row>
    <row r="163" spans="1:15" x14ac:dyDescent="0.3">
      <c r="A163" t="s">
        <v>15</v>
      </c>
      <c r="B163" t="s">
        <v>94</v>
      </c>
      <c r="C163" t="s">
        <v>95</v>
      </c>
      <c r="D163">
        <v>2</v>
      </c>
      <c r="E163" t="s">
        <v>81</v>
      </c>
      <c r="F163" t="s">
        <v>82</v>
      </c>
      <c r="G163">
        <v>54</v>
      </c>
      <c r="H163">
        <v>36</v>
      </c>
      <c r="I163">
        <v>90</v>
      </c>
      <c r="J163">
        <f t="shared" si="6"/>
        <v>18</v>
      </c>
      <c r="K163" t="s">
        <v>20</v>
      </c>
      <c r="L163">
        <f t="shared" si="7"/>
        <v>1</v>
      </c>
      <c r="M163">
        <v>9</v>
      </c>
      <c r="N163">
        <v>3</v>
      </c>
      <c r="O163">
        <f t="shared" si="8"/>
        <v>1</v>
      </c>
    </row>
    <row r="164" spans="1:15" x14ac:dyDescent="0.3">
      <c r="A164" t="s">
        <v>15</v>
      </c>
      <c r="B164" t="s">
        <v>94</v>
      </c>
      <c r="C164" t="s">
        <v>95</v>
      </c>
      <c r="D164">
        <v>2</v>
      </c>
      <c r="E164" t="s">
        <v>33</v>
      </c>
      <c r="F164" t="s">
        <v>34</v>
      </c>
      <c r="G164">
        <v>37</v>
      </c>
      <c r="H164">
        <v>33</v>
      </c>
      <c r="I164">
        <v>70</v>
      </c>
      <c r="J164">
        <f t="shared" si="6"/>
        <v>4</v>
      </c>
      <c r="K164" t="s">
        <v>20</v>
      </c>
      <c r="L164">
        <f t="shared" si="7"/>
        <v>1</v>
      </c>
      <c r="M164">
        <v>8</v>
      </c>
      <c r="N164">
        <v>4</v>
      </c>
      <c r="O164">
        <f t="shared" si="8"/>
        <v>1</v>
      </c>
    </row>
    <row r="165" spans="1:15" x14ac:dyDescent="0.3">
      <c r="A165" t="s">
        <v>15</v>
      </c>
      <c r="B165" t="s">
        <v>94</v>
      </c>
      <c r="C165" t="s">
        <v>95</v>
      </c>
      <c r="D165">
        <v>2</v>
      </c>
      <c r="E165" t="s">
        <v>35</v>
      </c>
      <c r="F165" t="s">
        <v>36</v>
      </c>
      <c r="G165">
        <v>20</v>
      </c>
      <c r="H165">
        <v>37</v>
      </c>
      <c r="I165">
        <v>57</v>
      </c>
      <c r="J165">
        <f t="shared" si="6"/>
        <v>-17</v>
      </c>
      <c r="K165" t="s">
        <v>20</v>
      </c>
      <c r="L165">
        <f t="shared" si="7"/>
        <v>1</v>
      </c>
      <c r="M165">
        <v>6</v>
      </c>
      <c r="N165">
        <v>3</v>
      </c>
      <c r="O165">
        <f t="shared" si="8"/>
        <v>1</v>
      </c>
    </row>
    <row r="166" spans="1:15" x14ac:dyDescent="0.3">
      <c r="A166" t="s">
        <v>15</v>
      </c>
      <c r="B166" t="s">
        <v>94</v>
      </c>
      <c r="C166" t="s">
        <v>95</v>
      </c>
      <c r="D166">
        <v>2</v>
      </c>
      <c r="E166" t="s">
        <v>37</v>
      </c>
      <c r="F166" t="s">
        <v>38</v>
      </c>
      <c r="G166">
        <v>32</v>
      </c>
      <c r="H166">
        <v>34</v>
      </c>
      <c r="I166">
        <v>66</v>
      </c>
      <c r="J166">
        <f t="shared" si="6"/>
        <v>-2</v>
      </c>
      <c r="K166" t="s">
        <v>20</v>
      </c>
      <c r="L166">
        <f t="shared" si="7"/>
        <v>1</v>
      </c>
      <c r="M166">
        <v>7</v>
      </c>
      <c r="N166">
        <v>3</v>
      </c>
      <c r="O166">
        <f t="shared" si="8"/>
        <v>1</v>
      </c>
    </row>
    <row r="167" spans="1:15" x14ac:dyDescent="0.3">
      <c r="A167" t="s">
        <v>15</v>
      </c>
      <c r="B167" t="s">
        <v>94</v>
      </c>
      <c r="C167" t="s">
        <v>95</v>
      </c>
      <c r="D167">
        <v>1</v>
      </c>
      <c r="E167" t="s">
        <v>39</v>
      </c>
      <c r="F167" t="s">
        <v>40</v>
      </c>
      <c r="G167">
        <v>73</v>
      </c>
      <c r="H167">
        <v>0</v>
      </c>
      <c r="I167">
        <v>73</v>
      </c>
      <c r="J167">
        <f t="shared" si="6"/>
        <v>0</v>
      </c>
      <c r="K167" t="s">
        <v>20</v>
      </c>
      <c r="L167">
        <f t="shared" si="7"/>
        <v>1</v>
      </c>
      <c r="M167">
        <v>8</v>
      </c>
      <c r="N167">
        <v>1</v>
      </c>
      <c r="O167">
        <f t="shared" si="8"/>
        <v>0</v>
      </c>
    </row>
    <row r="168" spans="1:15" x14ac:dyDescent="0.3">
      <c r="A168" t="s">
        <v>15</v>
      </c>
      <c r="B168" t="s">
        <v>94</v>
      </c>
      <c r="C168" t="s">
        <v>95</v>
      </c>
      <c r="D168">
        <v>1</v>
      </c>
      <c r="E168" t="s">
        <v>41</v>
      </c>
      <c r="F168" t="s">
        <v>42</v>
      </c>
      <c r="G168">
        <v>24</v>
      </c>
      <c r="H168">
        <v>40</v>
      </c>
      <c r="I168">
        <v>64</v>
      </c>
      <c r="J168">
        <f t="shared" si="6"/>
        <v>-16</v>
      </c>
      <c r="K168" t="s">
        <v>20</v>
      </c>
      <c r="L168">
        <f t="shared" si="7"/>
        <v>1</v>
      </c>
      <c r="M168">
        <v>8</v>
      </c>
      <c r="N168">
        <v>3</v>
      </c>
      <c r="O168">
        <f t="shared" si="8"/>
        <v>1</v>
      </c>
    </row>
    <row r="169" spans="1:15" x14ac:dyDescent="0.3">
      <c r="A169" t="s">
        <v>15</v>
      </c>
      <c r="B169" t="s">
        <v>94</v>
      </c>
      <c r="C169" t="s">
        <v>95</v>
      </c>
      <c r="D169">
        <v>1</v>
      </c>
      <c r="E169" t="s">
        <v>43</v>
      </c>
      <c r="F169" t="s">
        <v>44</v>
      </c>
      <c r="G169">
        <v>83</v>
      </c>
      <c r="H169">
        <v>0</v>
      </c>
      <c r="I169">
        <v>83</v>
      </c>
      <c r="J169">
        <f t="shared" si="6"/>
        <v>0</v>
      </c>
      <c r="K169" t="s">
        <v>20</v>
      </c>
      <c r="L169">
        <f t="shared" si="7"/>
        <v>1</v>
      </c>
      <c r="M169">
        <v>9</v>
      </c>
      <c r="N169">
        <v>1</v>
      </c>
      <c r="O169">
        <f t="shared" si="8"/>
        <v>0</v>
      </c>
    </row>
    <row r="170" spans="1:15" x14ac:dyDescent="0.3">
      <c r="A170" t="s">
        <v>15</v>
      </c>
      <c r="B170" t="s">
        <v>94</v>
      </c>
      <c r="C170" t="s">
        <v>95</v>
      </c>
      <c r="D170">
        <v>1</v>
      </c>
      <c r="E170" t="s">
        <v>45</v>
      </c>
      <c r="F170" t="s">
        <v>46</v>
      </c>
      <c r="G170">
        <v>22</v>
      </c>
      <c r="H170">
        <v>34</v>
      </c>
      <c r="I170">
        <v>56</v>
      </c>
      <c r="J170">
        <f t="shared" si="6"/>
        <v>-12</v>
      </c>
      <c r="K170" t="s">
        <v>20</v>
      </c>
      <c r="L170">
        <f t="shared" si="7"/>
        <v>1</v>
      </c>
      <c r="M170">
        <v>6</v>
      </c>
      <c r="N170">
        <v>1</v>
      </c>
      <c r="O170">
        <f t="shared" si="8"/>
        <v>1</v>
      </c>
    </row>
    <row r="171" spans="1:15" x14ac:dyDescent="0.3">
      <c r="A171" t="s">
        <v>15</v>
      </c>
      <c r="B171" t="s">
        <v>94</v>
      </c>
      <c r="C171" t="s">
        <v>95</v>
      </c>
      <c r="D171">
        <v>1</v>
      </c>
      <c r="E171" t="s">
        <v>83</v>
      </c>
      <c r="F171" t="s">
        <v>84</v>
      </c>
      <c r="G171">
        <v>59</v>
      </c>
      <c r="H171">
        <v>39</v>
      </c>
      <c r="I171">
        <v>98</v>
      </c>
      <c r="J171">
        <f t="shared" si="6"/>
        <v>20</v>
      </c>
      <c r="K171" t="s">
        <v>20</v>
      </c>
      <c r="L171">
        <f t="shared" si="7"/>
        <v>1</v>
      </c>
      <c r="M171">
        <v>10</v>
      </c>
      <c r="N171">
        <v>3</v>
      </c>
      <c r="O171">
        <f t="shared" si="8"/>
        <v>1</v>
      </c>
    </row>
    <row r="172" spans="1:15" x14ac:dyDescent="0.3">
      <c r="A172" t="s">
        <v>15</v>
      </c>
      <c r="B172" t="s">
        <v>94</v>
      </c>
      <c r="C172" t="s">
        <v>95</v>
      </c>
      <c r="D172">
        <v>1</v>
      </c>
      <c r="E172" t="s">
        <v>53</v>
      </c>
      <c r="F172" t="s">
        <v>54</v>
      </c>
      <c r="G172">
        <v>45</v>
      </c>
      <c r="H172">
        <v>41</v>
      </c>
      <c r="I172">
        <v>86</v>
      </c>
      <c r="J172">
        <f t="shared" si="6"/>
        <v>4</v>
      </c>
      <c r="K172" t="s">
        <v>20</v>
      </c>
      <c r="L172">
        <f t="shared" si="7"/>
        <v>1</v>
      </c>
      <c r="M172">
        <v>8</v>
      </c>
      <c r="N172">
        <v>4</v>
      </c>
      <c r="O172">
        <f t="shared" si="8"/>
        <v>1</v>
      </c>
    </row>
    <row r="173" spans="1:15" x14ac:dyDescent="0.3">
      <c r="A173" t="s">
        <v>15</v>
      </c>
      <c r="B173" t="s">
        <v>94</v>
      </c>
      <c r="C173" t="s">
        <v>95</v>
      </c>
      <c r="D173">
        <v>1</v>
      </c>
      <c r="E173" t="s">
        <v>55</v>
      </c>
      <c r="F173" t="s">
        <v>56</v>
      </c>
      <c r="G173">
        <v>42</v>
      </c>
      <c r="H173">
        <v>43</v>
      </c>
      <c r="I173">
        <v>85</v>
      </c>
      <c r="J173">
        <f t="shared" si="6"/>
        <v>-1</v>
      </c>
      <c r="K173" t="s">
        <v>20</v>
      </c>
      <c r="L173">
        <f t="shared" si="7"/>
        <v>1</v>
      </c>
      <c r="M173">
        <v>8</v>
      </c>
      <c r="N173">
        <v>3</v>
      </c>
      <c r="O173">
        <f t="shared" si="8"/>
        <v>1</v>
      </c>
    </row>
    <row r="174" spans="1:15" x14ac:dyDescent="0.3">
      <c r="A174" t="s">
        <v>15</v>
      </c>
      <c r="B174" t="s">
        <v>94</v>
      </c>
      <c r="C174" t="s">
        <v>95</v>
      </c>
      <c r="D174">
        <v>1</v>
      </c>
      <c r="E174" t="s">
        <v>57</v>
      </c>
      <c r="F174" t="s">
        <v>58</v>
      </c>
      <c r="G174">
        <v>37</v>
      </c>
      <c r="H174">
        <v>31</v>
      </c>
      <c r="I174">
        <v>68</v>
      </c>
      <c r="J174">
        <f t="shared" si="6"/>
        <v>6</v>
      </c>
      <c r="K174" t="s">
        <v>20</v>
      </c>
      <c r="L174">
        <f t="shared" si="7"/>
        <v>1</v>
      </c>
      <c r="M174">
        <v>8</v>
      </c>
      <c r="N174">
        <v>4</v>
      </c>
      <c r="O174">
        <f t="shared" si="8"/>
        <v>1</v>
      </c>
    </row>
    <row r="175" spans="1:15" x14ac:dyDescent="0.3">
      <c r="A175" t="s">
        <v>15</v>
      </c>
      <c r="B175" t="s">
        <v>96</v>
      </c>
      <c r="C175" t="s">
        <v>97</v>
      </c>
      <c r="D175">
        <v>2</v>
      </c>
      <c r="E175" t="s">
        <v>18</v>
      </c>
      <c r="F175" t="s">
        <v>19</v>
      </c>
      <c r="G175">
        <v>48</v>
      </c>
      <c r="H175">
        <v>40</v>
      </c>
      <c r="I175">
        <v>88</v>
      </c>
      <c r="J175">
        <f t="shared" si="6"/>
        <v>8</v>
      </c>
      <c r="K175" t="s">
        <v>20</v>
      </c>
      <c r="L175">
        <f t="shared" si="7"/>
        <v>1</v>
      </c>
      <c r="M175">
        <v>8</v>
      </c>
      <c r="N175">
        <v>4</v>
      </c>
      <c r="O175">
        <f t="shared" si="8"/>
        <v>1</v>
      </c>
    </row>
    <row r="176" spans="1:15" x14ac:dyDescent="0.3">
      <c r="A176" t="s">
        <v>15</v>
      </c>
      <c r="B176" t="s">
        <v>96</v>
      </c>
      <c r="C176" t="s">
        <v>97</v>
      </c>
      <c r="D176">
        <v>2</v>
      </c>
      <c r="E176" t="s">
        <v>21</v>
      </c>
      <c r="F176" t="s">
        <v>22</v>
      </c>
      <c r="G176">
        <v>42</v>
      </c>
      <c r="H176">
        <v>36</v>
      </c>
      <c r="I176">
        <v>78</v>
      </c>
      <c r="J176">
        <f t="shared" si="6"/>
        <v>6</v>
      </c>
      <c r="K176" t="s">
        <v>20</v>
      </c>
      <c r="L176">
        <f t="shared" si="7"/>
        <v>1</v>
      </c>
      <c r="M176">
        <v>8</v>
      </c>
      <c r="N176">
        <v>4</v>
      </c>
      <c r="O176">
        <f t="shared" si="8"/>
        <v>1</v>
      </c>
    </row>
    <row r="177" spans="1:15" x14ac:dyDescent="0.3">
      <c r="A177" t="s">
        <v>15</v>
      </c>
      <c r="B177" t="s">
        <v>96</v>
      </c>
      <c r="C177" t="s">
        <v>97</v>
      </c>
      <c r="D177">
        <v>2</v>
      </c>
      <c r="E177" t="s">
        <v>25</v>
      </c>
      <c r="F177" t="s">
        <v>26</v>
      </c>
      <c r="G177">
        <v>41</v>
      </c>
      <c r="H177">
        <v>38</v>
      </c>
      <c r="I177">
        <v>79</v>
      </c>
      <c r="J177">
        <f t="shared" si="6"/>
        <v>3</v>
      </c>
      <c r="K177" t="s">
        <v>20</v>
      </c>
      <c r="L177">
        <f t="shared" si="7"/>
        <v>1</v>
      </c>
      <c r="M177">
        <v>8</v>
      </c>
      <c r="N177">
        <v>1</v>
      </c>
      <c r="O177">
        <f t="shared" si="8"/>
        <v>1</v>
      </c>
    </row>
    <row r="178" spans="1:15" x14ac:dyDescent="0.3">
      <c r="A178" t="s">
        <v>15</v>
      </c>
      <c r="B178" t="s">
        <v>96</v>
      </c>
      <c r="C178" t="s">
        <v>97</v>
      </c>
      <c r="D178">
        <v>2</v>
      </c>
      <c r="E178" t="s">
        <v>61</v>
      </c>
      <c r="F178" t="s">
        <v>62</v>
      </c>
      <c r="G178">
        <v>31</v>
      </c>
      <c r="H178">
        <v>44</v>
      </c>
      <c r="I178">
        <v>75</v>
      </c>
      <c r="J178">
        <f t="shared" si="6"/>
        <v>-13</v>
      </c>
      <c r="K178" t="s">
        <v>20</v>
      </c>
      <c r="L178">
        <f t="shared" si="7"/>
        <v>1</v>
      </c>
      <c r="M178">
        <v>8</v>
      </c>
      <c r="N178">
        <v>2</v>
      </c>
      <c r="O178">
        <f t="shared" si="8"/>
        <v>1</v>
      </c>
    </row>
    <row r="179" spans="1:15" x14ac:dyDescent="0.3">
      <c r="A179" t="s">
        <v>15</v>
      </c>
      <c r="B179" t="s">
        <v>96</v>
      </c>
      <c r="C179" t="s">
        <v>97</v>
      </c>
      <c r="D179">
        <v>2</v>
      </c>
      <c r="E179" t="s">
        <v>81</v>
      </c>
      <c r="F179" t="s">
        <v>82</v>
      </c>
      <c r="G179">
        <v>50</v>
      </c>
      <c r="H179">
        <v>34</v>
      </c>
      <c r="I179">
        <v>84</v>
      </c>
      <c r="J179">
        <f t="shared" si="6"/>
        <v>16</v>
      </c>
      <c r="K179" t="s">
        <v>20</v>
      </c>
      <c r="L179">
        <f t="shared" si="7"/>
        <v>1</v>
      </c>
      <c r="M179">
        <v>9</v>
      </c>
      <c r="N179">
        <v>3</v>
      </c>
      <c r="O179">
        <f t="shared" si="8"/>
        <v>1</v>
      </c>
    </row>
    <row r="180" spans="1:15" x14ac:dyDescent="0.3">
      <c r="A180" t="s">
        <v>15</v>
      </c>
      <c r="B180" t="s">
        <v>96</v>
      </c>
      <c r="C180" t="s">
        <v>97</v>
      </c>
      <c r="D180">
        <v>2</v>
      </c>
      <c r="E180" t="s">
        <v>33</v>
      </c>
      <c r="F180" t="s">
        <v>34</v>
      </c>
      <c r="G180">
        <v>44</v>
      </c>
      <c r="H180">
        <v>36</v>
      </c>
      <c r="I180">
        <v>80</v>
      </c>
      <c r="J180">
        <f t="shared" si="6"/>
        <v>8</v>
      </c>
      <c r="K180" t="s">
        <v>20</v>
      </c>
      <c r="L180">
        <f t="shared" si="7"/>
        <v>1</v>
      </c>
      <c r="M180">
        <v>8</v>
      </c>
      <c r="N180">
        <v>4</v>
      </c>
      <c r="O180">
        <f t="shared" si="8"/>
        <v>1</v>
      </c>
    </row>
    <row r="181" spans="1:15" x14ac:dyDescent="0.3">
      <c r="A181" t="s">
        <v>15</v>
      </c>
      <c r="B181" t="s">
        <v>96</v>
      </c>
      <c r="C181" t="s">
        <v>97</v>
      </c>
      <c r="D181">
        <v>2</v>
      </c>
      <c r="E181" t="s">
        <v>35</v>
      </c>
      <c r="F181" t="s">
        <v>36</v>
      </c>
      <c r="G181">
        <v>32</v>
      </c>
      <c r="H181">
        <v>46</v>
      </c>
      <c r="I181">
        <v>78</v>
      </c>
      <c r="J181">
        <f t="shared" si="6"/>
        <v>-14</v>
      </c>
      <c r="K181" t="s">
        <v>20</v>
      </c>
      <c r="L181">
        <f t="shared" si="7"/>
        <v>1</v>
      </c>
      <c r="M181">
        <v>8</v>
      </c>
      <c r="N181">
        <v>3</v>
      </c>
      <c r="O181">
        <f t="shared" si="8"/>
        <v>1</v>
      </c>
    </row>
    <row r="182" spans="1:15" x14ac:dyDescent="0.3">
      <c r="A182" t="s">
        <v>15</v>
      </c>
      <c r="B182" t="s">
        <v>96</v>
      </c>
      <c r="C182" t="s">
        <v>97</v>
      </c>
      <c r="D182">
        <v>2</v>
      </c>
      <c r="E182" t="s">
        <v>37</v>
      </c>
      <c r="F182" t="s">
        <v>38</v>
      </c>
      <c r="G182">
        <v>36</v>
      </c>
      <c r="H182">
        <v>47</v>
      </c>
      <c r="I182">
        <v>83</v>
      </c>
      <c r="J182">
        <f t="shared" si="6"/>
        <v>-11</v>
      </c>
      <c r="K182" t="s">
        <v>20</v>
      </c>
      <c r="L182">
        <f t="shared" si="7"/>
        <v>1</v>
      </c>
      <c r="M182">
        <v>8</v>
      </c>
      <c r="N182">
        <v>3</v>
      </c>
      <c r="O182">
        <f t="shared" si="8"/>
        <v>1</v>
      </c>
    </row>
    <row r="183" spans="1:15" x14ac:dyDescent="0.3">
      <c r="A183" t="s">
        <v>15</v>
      </c>
      <c r="B183" t="s">
        <v>96</v>
      </c>
      <c r="C183" t="s">
        <v>97</v>
      </c>
      <c r="D183">
        <v>1</v>
      </c>
      <c r="E183" t="s">
        <v>39</v>
      </c>
      <c r="F183" t="s">
        <v>40</v>
      </c>
      <c r="G183">
        <v>90</v>
      </c>
      <c r="H183">
        <v>0</v>
      </c>
      <c r="I183">
        <v>90</v>
      </c>
      <c r="J183">
        <f t="shared" si="6"/>
        <v>0</v>
      </c>
      <c r="K183" t="s">
        <v>20</v>
      </c>
      <c r="L183">
        <f t="shared" si="7"/>
        <v>1</v>
      </c>
      <c r="M183">
        <v>9</v>
      </c>
      <c r="N183">
        <v>1</v>
      </c>
      <c r="O183">
        <f t="shared" si="8"/>
        <v>0</v>
      </c>
    </row>
    <row r="184" spans="1:15" x14ac:dyDescent="0.3">
      <c r="A184" t="s">
        <v>15</v>
      </c>
      <c r="B184" t="s">
        <v>96</v>
      </c>
      <c r="C184" t="s">
        <v>97</v>
      </c>
      <c r="D184">
        <v>1</v>
      </c>
      <c r="E184" t="s">
        <v>41</v>
      </c>
      <c r="F184" t="s">
        <v>42</v>
      </c>
      <c r="G184">
        <v>33</v>
      </c>
      <c r="H184">
        <v>36</v>
      </c>
      <c r="I184">
        <v>69</v>
      </c>
      <c r="J184">
        <f t="shared" si="6"/>
        <v>-3</v>
      </c>
      <c r="K184" t="s">
        <v>20</v>
      </c>
      <c r="L184">
        <f t="shared" si="7"/>
        <v>1</v>
      </c>
      <c r="M184">
        <v>9</v>
      </c>
      <c r="N184">
        <v>3</v>
      </c>
      <c r="O184">
        <f t="shared" si="8"/>
        <v>1</v>
      </c>
    </row>
    <row r="185" spans="1:15" x14ac:dyDescent="0.3">
      <c r="A185" t="s">
        <v>15</v>
      </c>
      <c r="B185" t="s">
        <v>96</v>
      </c>
      <c r="C185" t="s">
        <v>97</v>
      </c>
      <c r="D185">
        <v>1</v>
      </c>
      <c r="E185" t="s">
        <v>43</v>
      </c>
      <c r="F185" t="s">
        <v>44</v>
      </c>
      <c r="G185">
        <v>87</v>
      </c>
      <c r="H185">
        <v>0</v>
      </c>
      <c r="I185">
        <v>87</v>
      </c>
      <c r="J185">
        <f t="shared" si="6"/>
        <v>0</v>
      </c>
      <c r="K185" t="s">
        <v>20</v>
      </c>
      <c r="L185">
        <f t="shared" si="7"/>
        <v>1</v>
      </c>
      <c r="M185">
        <v>9</v>
      </c>
      <c r="N185">
        <v>1</v>
      </c>
      <c r="O185">
        <f t="shared" si="8"/>
        <v>0</v>
      </c>
    </row>
    <row r="186" spans="1:15" x14ac:dyDescent="0.3">
      <c r="A186" t="s">
        <v>15</v>
      </c>
      <c r="B186" t="s">
        <v>96</v>
      </c>
      <c r="C186" t="s">
        <v>97</v>
      </c>
      <c r="D186">
        <v>1</v>
      </c>
      <c r="E186" t="s">
        <v>45</v>
      </c>
      <c r="F186" t="s">
        <v>46</v>
      </c>
      <c r="G186">
        <v>31</v>
      </c>
      <c r="H186">
        <v>38</v>
      </c>
      <c r="I186">
        <v>69</v>
      </c>
      <c r="J186">
        <f t="shared" si="6"/>
        <v>-7</v>
      </c>
      <c r="K186" t="s">
        <v>20</v>
      </c>
      <c r="L186">
        <f t="shared" si="7"/>
        <v>1</v>
      </c>
      <c r="M186">
        <v>7</v>
      </c>
      <c r="N186">
        <v>1</v>
      </c>
      <c r="O186">
        <f t="shared" si="8"/>
        <v>1</v>
      </c>
    </row>
    <row r="187" spans="1:15" x14ac:dyDescent="0.3">
      <c r="A187" t="s">
        <v>15</v>
      </c>
      <c r="B187" t="s">
        <v>96</v>
      </c>
      <c r="C187" t="s">
        <v>97</v>
      </c>
      <c r="D187">
        <v>1</v>
      </c>
      <c r="E187" t="s">
        <v>83</v>
      </c>
      <c r="F187" t="s">
        <v>84</v>
      </c>
      <c r="G187">
        <v>60</v>
      </c>
      <c r="H187">
        <v>40</v>
      </c>
      <c r="I187">
        <v>100</v>
      </c>
      <c r="J187">
        <f t="shared" si="6"/>
        <v>20</v>
      </c>
      <c r="K187" t="s">
        <v>20</v>
      </c>
      <c r="L187">
        <f t="shared" si="7"/>
        <v>1</v>
      </c>
      <c r="M187">
        <v>10</v>
      </c>
      <c r="N187">
        <v>3</v>
      </c>
      <c r="O187">
        <f t="shared" si="8"/>
        <v>1</v>
      </c>
    </row>
    <row r="188" spans="1:15" x14ac:dyDescent="0.3">
      <c r="A188" t="s">
        <v>15</v>
      </c>
      <c r="B188" t="s">
        <v>96</v>
      </c>
      <c r="C188" t="s">
        <v>97</v>
      </c>
      <c r="D188">
        <v>1</v>
      </c>
      <c r="E188" t="s">
        <v>53</v>
      </c>
      <c r="F188" t="s">
        <v>54</v>
      </c>
      <c r="G188">
        <v>46</v>
      </c>
      <c r="H188">
        <v>48</v>
      </c>
      <c r="I188">
        <v>94</v>
      </c>
      <c r="J188">
        <f t="shared" si="6"/>
        <v>-2</v>
      </c>
      <c r="K188" t="s">
        <v>20</v>
      </c>
      <c r="L188">
        <f t="shared" si="7"/>
        <v>1</v>
      </c>
      <c r="M188">
        <v>10</v>
      </c>
      <c r="N188">
        <v>4</v>
      </c>
      <c r="O188">
        <f t="shared" si="8"/>
        <v>1</v>
      </c>
    </row>
    <row r="189" spans="1:15" x14ac:dyDescent="0.3">
      <c r="A189" t="s">
        <v>15</v>
      </c>
      <c r="B189" t="s">
        <v>96</v>
      </c>
      <c r="C189" t="s">
        <v>97</v>
      </c>
      <c r="D189">
        <v>1</v>
      </c>
      <c r="E189" t="s">
        <v>55</v>
      </c>
      <c r="F189" t="s">
        <v>56</v>
      </c>
      <c r="G189">
        <v>47</v>
      </c>
      <c r="H189">
        <v>49</v>
      </c>
      <c r="I189">
        <v>96</v>
      </c>
      <c r="J189">
        <f t="shared" si="6"/>
        <v>-2</v>
      </c>
      <c r="K189" t="s">
        <v>20</v>
      </c>
      <c r="L189">
        <f t="shared" si="7"/>
        <v>1</v>
      </c>
      <c r="M189">
        <v>10</v>
      </c>
      <c r="N189">
        <v>3</v>
      </c>
      <c r="O189">
        <f t="shared" si="8"/>
        <v>1</v>
      </c>
    </row>
    <row r="190" spans="1:15" x14ac:dyDescent="0.3">
      <c r="A190" t="s">
        <v>15</v>
      </c>
      <c r="B190" t="s">
        <v>96</v>
      </c>
      <c r="C190" t="s">
        <v>97</v>
      </c>
      <c r="D190">
        <v>1</v>
      </c>
      <c r="E190" t="s">
        <v>57</v>
      </c>
      <c r="F190" t="s">
        <v>58</v>
      </c>
      <c r="G190">
        <v>44</v>
      </c>
      <c r="H190">
        <v>37</v>
      </c>
      <c r="I190">
        <v>81</v>
      </c>
      <c r="J190">
        <f t="shared" si="6"/>
        <v>7</v>
      </c>
      <c r="K190" t="s">
        <v>20</v>
      </c>
      <c r="L190">
        <f t="shared" si="7"/>
        <v>1</v>
      </c>
      <c r="M190">
        <v>9</v>
      </c>
      <c r="N190">
        <v>4</v>
      </c>
      <c r="O190">
        <f t="shared" si="8"/>
        <v>1</v>
      </c>
    </row>
    <row r="191" spans="1:15" x14ac:dyDescent="0.3">
      <c r="A191" t="s">
        <v>15</v>
      </c>
      <c r="B191" t="s">
        <v>98</v>
      </c>
      <c r="C191" t="s">
        <v>99</v>
      </c>
      <c r="D191">
        <v>2</v>
      </c>
      <c r="E191" t="s">
        <v>21</v>
      </c>
      <c r="F191" t="s">
        <v>22</v>
      </c>
      <c r="G191">
        <v>34</v>
      </c>
      <c r="H191">
        <v>0</v>
      </c>
      <c r="I191">
        <v>0</v>
      </c>
      <c r="J191">
        <f t="shared" si="6"/>
        <v>0</v>
      </c>
      <c r="K191" t="s">
        <v>100</v>
      </c>
      <c r="L191">
        <f t="shared" si="7"/>
        <v>0</v>
      </c>
      <c r="M191">
        <v>0</v>
      </c>
      <c r="N191">
        <v>4</v>
      </c>
      <c r="O191">
        <f t="shared" si="8"/>
        <v>0</v>
      </c>
    </row>
    <row r="192" spans="1:15" x14ac:dyDescent="0.3">
      <c r="A192" t="s">
        <v>15</v>
      </c>
      <c r="B192" t="s">
        <v>98</v>
      </c>
      <c r="C192" t="s">
        <v>99</v>
      </c>
      <c r="D192">
        <v>2</v>
      </c>
      <c r="E192" t="s">
        <v>33</v>
      </c>
      <c r="F192" t="s">
        <v>34</v>
      </c>
      <c r="G192">
        <v>31</v>
      </c>
      <c r="H192">
        <v>2</v>
      </c>
      <c r="I192">
        <v>33</v>
      </c>
      <c r="J192">
        <f t="shared" si="6"/>
        <v>29</v>
      </c>
      <c r="K192" t="s">
        <v>87</v>
      </c>
      <c r="L192">
        <f t="shared" si="7"/>
        <v>0</v>
      </c>
      <c r="M192">
        <v>0</v>
      </c>
      <c r="N192">
        <v>4</v>
      </c>
      <c r="O192">
        <f t="shared" si="8"/>
        <v>1</v>
      </c>
    </row>
    <row r="193" spans="1:15" x14ac:dyDescent="0.3">
      <c r="A193" t="s">
        <v>15</v>
      </c>
      <c r="B193" t="s">
        <v>98</v>
      </c>
      <c r="C193" t="s">
        <v>99</v>
      </c>
      <c r="D193">
        <v>2</v>
      </c>
      <c r="E193" t="s">
        <v>35</v>
      </c>
      <c r="F193" t="s">
        <v>36</v>
      </c>
      <c r="G193">
        <v>11</v>
      </c>
      <c r="H193">
        <v>0</v>
      </c>
      <c r="I193">
        <v>0</v>
      </c>
      <c r="J193">
        <f t="shared" si="6"/>
        <v>0</v>
      </c>
      <c r="K193" t="s">
        <v>100</v>
      </c>
      <c r="L193">
        <f t="shared" si="7"/>
        <v>0</v>
      </c>
      <c r="M193">
        <v>0</v>
      </c>
      <c r="N193">
        <v>3</v>
      </c>
      <c r="O193">
        <f t="shared" si="8"/>
        <v>0</v>
      </c>
    </row>
    <row r="194" spans="1:15" x14ac:dyDescent="0.3">
      <c r="A194" t="s">
        <v>15</v>
      </c>
      <c r="B194" t="s">
        <v>98</v>
      </c>
      <c r="C194" t="s">
        <v>99</v>
      </c>
      <c r="D194">
        <v>2</v>
      </c>
      <c r="E194" t="s">
        <v>18</v>
      </c>
      <c r="F194" t="s">
        <v>19</v>
      </c>
      <c r="G194">
        <v>40</v>
      </c>
      <c r="H194">
        <v>24</v>
      </c>
      <c r="I194">
        <v>64</v>
      </c>
      <c r="J194">
        <f t="shared" ref="J194:J257" si="9">IF(H194=0,0,G194-H194)</f>
        <v>16</v>
      </c>
      <c r="K194" t="s">
        <v>20</v>
      </c>
      <c r="L194">
        <f t="shared" ref="L194:L257" si="10">IF(K194="Pass",1,0)</f>
        <v>1</v>
      </c>
      <c r="M194">
        <v>7</v>
      </c>
      <c r="N194">
        <v>4</v>
      </c>
      <c r="O194">
        <f t="shared" ref="O194:O257" si="11">IF(H194=0,0,1)</f>
        <v>1</v>
      </c>
    </row>
    <row r="195" spans="1:15" x14ac:dyDescent="0.3">
      <c r="A195" t="s">
        <v>15</v>
      </c>
      <c r="B195" t="s">
        <v>98</v>
      </c>
      <c r="C195" t="s">
        <v>99</v>
      </c>
      <c r="D195">
        <v>2</v>
      </c>
      <c r="E195" t="s">
        <v>41</v>
      </c>
      <c r="F195" t="s">
        <v>42</v>
      </c>
      <c r="G195">
        <v>7</v>
      </c>
      <c r="H195">
        <v>31</v>
      </c>
      <c r="I195">
        <v>38</v>
      </c>
      <c r="J195">
        <f t="shared" si="9"/>
        <v>-24</v>
      </c>
      <c r="K195" t="s">
        <v>87</v>
      </c>
      <c r="L195">
        <f t="shared" si="10"/>
        <v>0</v>
      </c>
      <c r="M195">
        <v>0</v>
      </c>
      <c r="N195">
        <v>3</v>
      </c>
      <c r="O195">
        <f t="shared" si="11"/>
        <v>1</v>
      </c>
    </row>
    <row r="196" spans="1:15" x14ac:dyDescent="0.3">
      <c r="A196" t="s">
        <v>15</v>
      </c>
      <c r="B196" t="s">
        <v>98</v>
      </c>
      <c r="C196" t="s">
        <v>99</v>
      </c>
      <c r="D196">
        <v>2</v>
      </c>
      <c r="E196" t="s">
        <v>23</v>
      </c>
      <c r="F196" t="s">
        <v>24</v>
      </c>
      <c r="G196">
        <v>63</v>
      </c>
      <c r="H196">
        <v>0</v>
      </c>
      <c r="I196">
        <v>63</v>
      </c>
      <c r="J196">
        <f t="shared" si="9"/>
        <v>0</v>
      </c>
      <c r="K196" t="s">
        <v>20</v>
      </c>
      <c r="L196">
        <f t="shared" si="10"/>
        <v>1</v>
      </c>
      <c r="M196">
        <v>7</v>
      </c>
      <c r="N196">
        <v>1</v>
      </c>
      <c r="O196">
        <f t="shared" si="11"/>
        <v>0</v>
      </c>
    </row>
    <row r="197" spans="1:15" x14ac:dyDescent="0.3">
      <c r="A197" t="s">
        <v>15</v>
      </c>
      <c r="B197" t="s">
        <v>98</v>
      </c>
      <c r="C197" t="s">
        <v>99</v>
      </c>
      <c r="D197">
        <v>2</v>
      </c>
      <c r="E197" t="s">
        <v>25</v>
      </c>
      <c r="F197" t="s">
        <v>26</v>
      </c>
      <c r="G197">
        <v>30</v>
      </c>
      <c r="H197">
        <v>30</v>
      </c>
      <c r="I197">
        <v>60</v>
      </c>
      <c r="J197">
        <f t="shared" si="9"/>
        <v>0</v>
      </c>
      <c r="K197" t="s">
        <v>20</v>
      </c>
      <c r="L197">
        <f t="shared" si="10"/>
        <v>1</v>
      </c>
      <c r="M197">
        <v>6</v>
      </c>
      <c r="N197">
        <v>1</v>
      </c>
      <c r="O197">
        <f t="shared" si="11"/>
        <v>1</v>
      </c>
    </row>
    <row r="198" spans="1:15" x14ac:dyDescent="0.3">
      <c r="A198" t="s">
        <v>15</v>
      </c>
      <c r="B198" t="s">
        <v>98</v>
      </c>
      <c r="C198" t="s">
        <v>99</v>
      </c>
      <c r="D198">
        <v>2</v>
      </c>
      <c r="E198" t="s">
        <v>27</v>
      </c>
      <c r="F198" t="s">
        <v>28</v>
      </c>
      <c r="G198">
        <v>20</v>
      </c>
      <c r="H198">
        <v>30</v>
      </c>
      <c r="I198">
        <v>50</v>
      </c>
      <c r="J198">
        <f t="shared" si="9"/>
        <v>-10</v>
      </c>
      <c r="K198" t="s">
        <v>20</v>
      </c>
      <c r="L198">
        <f t="shared" si="10"/>
        <v>1</v>
      </c>
      <c r="M198">
        <v>5</v>
      </c>
      <c r="N198">
        <v>2</v>
      </c>
      <c r="O198">
        <f t="shared" si="11"/>
        <v>1</v>
      </c>
    </row>
    <row r="199" spans="1:15" x14ac:dyDescent="0.3">
      <c r="A199" t="s">
        <v>15</v>
      </c>
      <c r="B199" t="s">
        <v>98</v>
      </c>
      <c r="C199" t="s">
        <v>99</v>
      </c>
      <c r="D199">
        <v>2</v>
      </c>
      <c r="E199" t="s">
        <v>101</v>
      </c>
      <c r="F199" t="s">
        <v>102</v>
      </c>
      <c r="G199">
        <v>84</v>
      </c>
      <c r="H199">
        <v>0</v>
      </c>
      <c r="I199">
        <v>84</v>
      </c>
      <c r="J199">
        <f t="shared" si="9"/>
        <v>0</v>
      </c>
      <c r="K199" t="s">
        <v>20</v>
      </c>
      <c r="L199">
        <f t="shared" si="10"/>
        <v>1</v>
      </c>
      <c r="M199">
        <v>9</v>
      </c>
      <c r="N199">
        <v>1</v>
      </c>
      <c r="O199">
        <f t="shared" si="11"/>
        <v>0</v>
      </c>
    </row>
    <row r="200" spans="1:15" x14ac:dyDescent="0.3">
      <c r="A200" t="s">
        <v>15</v>
      </c>
      <c r="B200" t="s">
        <v>98</v>
      </c>
      <c r="C200" t="s">
        <v>99</v>
      </c>
      <c r="D200">
        <v>2</v>
      </c>
      <c r="E200" t="s">
        <v>31</v>
      </c>
      <c r="F200" t="s">
        <v>32</v>
      </c>
      <c r="G200">
        <v>96</v>
      </c>
      <c r="H200">
        <v>0</v>
      </c>
      <c r="I200">
        <v>96</v>
      </c>
      <c r="J200">
        <f t="shared" si="9"/>
        <v>0</v>
      </c>
      <c r="K200" t="s">
        <v>20</v>
      </c>
      <c r="L200">
        <f t="shared" si="10"/>
        <v>1</v>
      </c>
      <c r="M200">
        <v>10</v>
      </c>
      <c r="N200">
        <v>1</v>
      </c>
      <c r="O200">
        <f t="shared" si="11"/>
        <v>0</v>
      </c>
    </row>
    <row r="201" spans="1:15" x14ac:dyDescent="0.3">
      <c r="A201" t="s">
        <v>15</v>
      </c>
      <c r="B201" t="s">
        <v>98</v>
      </c>
      <c r="C201" t="s">
        <v>99</v>
      </c>
      <c r="D201">
        <v>2</v>
      </c>
      <c r="E201" t="s">
        <v>37</v>
      </c>
      <c r="F201" t="s">
        <v>38</v>
      </c>
      <c r="G201">
        <v>20</v>
      </c>
      <c r="H201">
        <v>31</v>
      </c>
      <c r="I201">
        <v>51</v>
      </c>
      <c r="J201">
        <f t="shared" si="9"/>
        <v>-11</v>
      </c>
      <c r="K201" t="s">
        <v>20</v>
      </c>
      <c r="L201">
        <f t="shared" si="10"/>
        <v>1</v>
      </c>
      <c r="M201">
        <v>5</v>
      </c>
      <c r="N201">
        <v>3</v>
      </c>
      <c r="O201">
        <f t="shared" si="11"/>
        <v>1</v>
      </c>
    </row>
    <row r="202" spans="1:15" x14ac:dyDescent="0.3">
      <c r="A202" t="s">
        <v>15</v>
      </c>
      <c r="B202" t="s">
        <v>98</v>
      </c>
      <c r="C202" t="s">
        <v>99</v>
      </c>
      <c r="D202">
        <v>1</v>
      </c>
      <c r="E202" t="s">
        <v>39</v>
      </c>
      <c r="F202" t="s">
        <v>40</v>
      </c>
      <c r="G202">
        <v>94</v>
      </c>
      <c r="H202">
        <v>0</v>
      </c>
      <c r="I202">
        <v>94</v>
      </c>
      <c r="J202">
        <f t="shared" si="9"/>
        <v>0</v>
      </c>
      <c r="K202" t="s">
        <v>20</v>
      </c>
      <c r="L202">
        <f t="shared" si="10"/>
        <v>1</v>
      </c>
      <c r="M202">
        <v>10</v>
      </c>
      <c r="N202">
        <v>1</v>
      </c>
      <c r="O202">
        <f t="shared" si="11"/>
        <v>0</v>
      </c>
    </row>
    <row r="203" spans="1:15" x14ac:dyDescent="0.3">
      <c r="A203" t="s">
        <v>15</v>
      </c>
      <c r="B203" t="s">
        <v>98</v>
      </c>
      <c r="C203" t="s">
        <v>99</v>
      </c>
      <c r="D203">
        <v>1</v>
      </c>
      <c r="E203" t="s">
        <v>41</v>
      </c>
      <c r="F203" t="s">
        <v>42</v>
      </c>
      <c r="G203">
        <v>7</v>
      </c>
      <c r="H203">
        <v>16</v>
      </c>
      <c r="I203">
        <v>23</v>
      </c>
      <c r="J203">
        <f t="shared" si="9"/>
        <v>-9</v>
      </c>
      <c r="K203" t="s">
        <v>87</v>
      </c>
      <c r="L203">
        <f t="shared" si="10"/>
        <v>0</v>
      </c>
      <c r="M203">
        <v>0</v>
      </c>
      <c r="N203">
        <v>3</v>
      </c>
      <c r="O203">
        <f t="shared" si="11"/>
        <v>1</v>
      </c>
    </row>
    <row r="204" spans="1:15" x14ac:dyDescent="0.3">
      <c r="A204" t="s">
        <v>15</v>
      </c>
      <c r="B204" t="s">
        <v>98</v>
      </c>
      <c r="C204" t="s">
        <v>99</v>
      </c>
      <c r="D204">
        <v>1</v>
      </c>
      <c r="E204" t="s">
        <v>43</v>
      </c>
      <c r="F204" t="s">
        <v>44</v>
      </c>
      <c r="G204">
        <v>66</v>
      </c>
      <c r="H204">
        <v>0</v>
      </c>
      <c r="I204">
        <v>66</v>
      </c>
      <c r="J204">
        <f t="shared" si="9"/>
        <v>0</v>
      </c>
      <c r="K204" t="s">
        <v>20</v>
      </c>
      <c r="L204">
        <f t="shared" si="10"/>
        <v>1</v>
      </c>
      <c r="M204">
        <v>7</v>
      </c>
      <c r="N204">
        <v>1</v>
      </c>
      <c r="O204">
        <f t="shared" si="11"/>
        <v>0</v>
      </c>
    </row>
    <row r="205" spans="1:15" x14ac:dyDescent="0.3">
      <c r="A205" t="s">
        <v>15</v>
      </c>
      <c r="B205" t="s">
        <v>98</v>
      </c>
      <c r="C205" t="s">
        <v>99</v>
      </c>
      <c r="D205">
        <v>1</v>
      </c>
      <c r="E205" t="s">
        <v>45</v>
      </c>
      <c r="F205" t="s">
        <v>46</v>
      </c>
      <c r="G205">
        <v>27</v>
      </c>
      <c r="H205">
        <v>33</v>
      </c>
      <c r="I205">
        <v>60</v>
      </c>
      <c r="J205">
        <f t="shared" si="9"/>
        <v>-6</v>
      </c>
      <c r="K205" t="s">
        <v>20</v>
      </c>
      <c r="L205">
        <f t="shared" si="10"/>
        <v>1</v>
      </c>
      <c r="M205">
        <v>6</v>
      </c>
      <c r="N205">
        <v>1</v>
      </c>
      <c r="O205">
        <f t="shared" si="11"/>
        <v>1</v>
      </c>
    </row>
    <row r="206" spans="1:15" x14ac:dyDescent="0.3">
      <c r="A206" t="s">
        <v>15</v>
      </c>
      <c r="B206" t="s">
        <v>98</v>
      </c>
      <c r="C206" t="s">
        <v>99</v>
      </c>
      <c r="D206">
        <v>1</v>
      </c>
      <c r="E206" t="s">
        <v>75</v>
      </c>
      <c r="F206" t="s">
        <v>76</v>
      </c>
      <c r="G206">
        <v>89</v>
      </c>
      <c r="H206">
        <v>0</v>
      </c>
      <c r="I206">
        <v>89</v>
      </c>
      <c r="J206">
        <f t="shared" si="9"/>
        <v>0</v>
      </c>
      <c r="K206" t="s">
        <v>20</v>
      </c>
      <c r="L206">
        <f t="shared" si="10"/>
        <v>1</v>
      </c>
      <c r="M206">
        <v>9</v>
      </c>
      <c r="N206">
        <v>1</v>
      </c>
      <c r="O206">
        <f t="shared" si="11"/>
        <v>0</v>
      </c>
    </row>
    <row r="207" spans="1:15" x14ac:dyDescent="0.3">
      <c r="A207" t="s">
        <v>15</v>
      </c>
      <c r="B207" t="s">
        <v>98</v>
      </c>
      <c r="C207" t="s">
        <v>99</v>
      </c>
      <c r="D207">
        <v>1</v>
      </c>
      <c r="E207" t="s">
        <v>49</v>
      </c>
      <c r="F207" t="s">
        <v>50</v>
      </c>
      <c r="G207">
        <v>90</v>
      </c>
      <c r="H207">
        <v>0</v>
      </c>
      <c r="I207">
        <v>90</v>
      </c>
      <c r="J207">
        <f t="shared" si="9"/>
        <v>0</v>
      </c>
      <c r="K207" t="s">
        <v>20</v>
      </c>
      <c r="L207">
        <f t="shared" si="10"/>
        <v>1</v>
      </c>
      <c r="M207">
        <v>9</v>
      </c>
      <c r="N207">
        <v>1</v>
      </c>
      <c r="O207">
        <f t="shared" si="11"/>
        <v>0</v>
      </c>
    </row>
    <row r="208" spans="1:15" x14ac:dyDescent="0.3">
      <c r="A208" t="s">
        <v>15</v>
      </c>
      <c r="B208" t="s">
        <v>98</v>
      </c>
      <c r="C208" t="s">
        <v>99</v>
      </c>
      <c r="D208">
        <v>1</v>
      </c>
      <c r="E208" t="s">
        <v>51</v>
      </c>
      <c r="F208" t="s">
        <v>52</v>
      </c>
      <c r="G208">
        <v>80</v>
      </c>
      <c r="H208">
        <v>0</v>
      </c>
      <c r="I208">
        <v>80</v>
      </c>
      <c r="J208">
        <f t="shared" si="9"/>
        <v>0</v>
      </c>
      <c r="K208" t="s">
        <v>20</v>
      </c>
      <c r="L208">
        <f t="shared" si="10"/>
        <v>1</v>
      </c>
      <c r="M208">
        <v>8</v>
      </c>
      <c r="N208">
        <v>1</v>
      </c>
      <c r="O208">
        <f t="shared" si="11"/>
        <v>0</v>
      </c>
    </row>
    <row r="209" spans="1:15" x14ac:dyDescent="0.3">
      <c r="A209" t="s">
        <v>15</v>
      </c>
      <c r="B209" t="s">
        <v>98</v>
      </c>
      <c r="C209" t="s">
        <v>99</v>
      </c>
      <c r="D209">
        <v>1</v>
      </c>
      <c r="E209" t="s">
        <v>53</v>
      </c>
      <c r="F209" t="s">
        <v>54</v>
      </c>
      <c r="G209">
        <v>33</v>
      </c>
      <c r="H209">
        <v>25</v>
      </c>
      <c r="I209">
        <v>58</v>
      </c>
      <c r="J209">
        <f t="shared" si="9"/>
        <v>8</v>
      </c>
      <c r="K209" t="s">
        <v>20</v>
      </c>
      <c r="L209">
        <f t="shared" si="10"/>
        <v>1</v>
      </c>
      <c r="M209">
        <v>6</v>
      </c>
      <c r="N209">
        <v>4</v>
      </c>
      <c r="O209">
        <f t="shared" si="11"/>
        <v>1</v>
      </c>
    </row>
    <row r="210" spans="1:15" x14ac:dyDescent="0.3">
      <c r="A210" t="s">
        <v>15</v>
      </c>
      <c r="B210" t="s">
        <v>98</v>
      </c>
      <c r="C210" t="s">
        <v>99</v>
      </c>
      <c r="D210">
        <v>1</v>
      </c>
      <c r="E210" t="s">
        <v>55</v>
      </c>
      <c r="F210" t="s">
        <v>56</v>
      </c>
      <c r="G210">
        <v>36</v>
      </c>
      <c r="H210">
        <v>30</v>
      </c>
      <c r="I210">
        <v>66</v>
      </c>
      <c r="J210">
        <f t="shared" si="9"/>
        <v>6</v>
      </c>
      <c r="K210" t="s">
        <v>20</v>
      </c>
      <c r="L210">
        <f t="shared" si="10"/>
        <v>1</v>
      </c>
      <c r="M210">
        <v>7</v>
      </c>
      <c r="N210">
        <v>3</v>
      </c>
      <c r="O210">
        <f t="shared" si="11"/>
        <v>1</v>
      </c>
    </row>
    <row r="211" spans="1:15" x14ac:dyDescent="0.3">
      <c r="A211" t="s">
        <v>15</v>
      </c>
      <c r="B211" t="s">
        <v>98</v>
      </c>
      <c r="C211" t="s">
        <v>99</v>
      </c>
      <c r="D211">
        <v>1</v>
      </c>
      <c r="E211" t="s">
        <v>57</v>
      </c>
      <c r="F211" t="s">
        <v>58</v>
      </c>
      <c r="G211">
        <v>33</v>
      </c>
      <c r="H211">
        <v>27</v>
      </c>
      <c r="I211">
        <v>60</v>
      </c>
      <c r="J211">
        <f t="shared" si="9"/>
        <v>6</v>
      </c>
      <c r="K211" t="s">
        <v>20</v>
      </c>
      <c r="L211">
        <f t="shared" si="10"/>
        <v>1</v>
      </c>
      <c r="M211">
        <v>7</v>
      </c>
      <c r="N211">
        <v>4</v>
      </c>
      <c r="O211">
        <f t="shared" si="11"/>
        <v>1</v>
      </c>
    </row>
    <row r="212" spans="1:15" x14ac:dyDescent="0.3">
      <c r="A212" t="s">
        <v>15</v>
      </c>
      <c r="B212" t="s">
        <v>103</v>
      </c>
      <c r="C212" t="s">
        <v>104</v>
      </c>
      <c r="D212">
        <v>2</v>
      </c>
      <c r="E212" t="s">
        <v>18</v>
      </c>
      <c r="F212" t="s">
        <v>19</v>
      </c>
      <c r="G212">
        <v>47</v>
      </c>
      <c r="H212">
        <v>37</v>
      </c>
      <c r="I212">
        <v>84</v>
      </c>
      <c r="J212">
        <f t="shared" si="9"/>
        <v>10</v>
      </c>
      <c r="K212" t="s">
        <v>20</v>
      </c>
      <c r="L212">
        <f t="shared" si="10"/>
        <v>1</v>
      </c>
      <c r="M212">
        <v>8</v>
      </c>
      <c r="N212">
        <v>4</v>
      </c>
      <c r="O212">
        <f t="shared" si="11"/>
        <v>1</v>
      </c>
    </row>
    <row r="213" spans="1:15" x14ac:dyDescent="0.3">
      <c r="A213" t="s">
        <v>15</v>
      </c>
      <c r="B213" t="s">
        <v>103</v>
      </c>
      <c r="C213" t="s">
        <v>104</v>
      </c>
      <c r="D213">
        <v>2</v>
      </c>
      <c r="E213" t="s">
        <v>21</v>
      </c>
      <c r="F213" t="s">
        <v>22</v>
      </c>
      <c r="G213">
        <v>43</v>
      </c>
      <c r="H213">
        <v>36</v>
      </c>
      <c r="I213">
        <v>79</v>
      </c>
      <c r="J213">
        <f t="shared" si="9"/>
        <v>7</v>
      </c>
      <c r="K213" t="s">
        <v>20</v>
      </c>
      <c r="L213">
        <f t="shared" si="10"/>
        <v>1</v>
      </c>
      <c r="M213">
        <v>8</v>
      </c>
      <c r="N213">
        <v>4</v>
      </c>
      <c r="O213">
        <f t="shared" si="11"/>
        <v>1</v>
      </c>
    </row>
    <row r="214" spans="1:15" x14ac:dyDescent="0.3">
      <c r="A214" t="s">
        <v>15</v>
      </c>
      <c r="B214" t="s">
        <v>103</v>
      </c>
      <c r="C214" t="s">
        <v>104</v>
      </c>
      <c r="D214">
        <v>2</v>
      </c>
      <c r="E214" t="s">
        <v>23</v>
      </c>
      <c r="F214" t="s">
        <v>24</v>
      </c>
      <c r="G214">
        <v>67</v>
      </c>
      <c r="H214">
        <v>0</v>
      </c>
      <c r="I214">
        <v>67</v>
      </c>
      <c r="J214">
        <f t="shared" si="9"/>
        <v>0</v>
      </c>
      <c r="K214" t="s">
        <v>20</v>
      </c>
      <c r="L214">
        <f t="shared" si="10"/>
        <v>1</v>
      </c>
      <c r="M214">
        <v>7</v>
      </c>
      <c r="N214">
        <v>1</v>
      </c>
      <c r="O214">
        <f t="shared" si="11"/>
        <v>0</v>
      </c>
    </row>
    <row r="215" spans="1:15" x14ac:dyDescent="0.3">
      <c r="A215" t="s">
        <v>15</v>
      </c>
      <c r="B215" t="s">
        <v>103</v>
      </c>
      <c r="C215" t="s">
        <v>104</v>
      </c>
      <c r="D215">
        <v>2</v>
      </c>
      <c r="E215" t="s">
        <v>25</v>
      </c>
      <c r="F215" t="s">
        <v>26</v>
      </c>
      <c r="G215">
        <v>37</v>
      </c>
      <c r="H215">
        <v>36</v>
      </c>
      <c r="I215">
        <v>73</v>
      </c>
      <c r="J215">
        <f t="shared" si="9"/>
        <v>1</v>
      </c>
      <c r="K215" t="s">
        <v>20</v>
      </c>
      <c r="L215">
        <f t="shared" si="10"/>
        <v>1</v>
      </c>
      <c r="M215">
        <v>7</v>
      </c>
      <c r="N215">
        <v>1</v>
      </c>
      <c r="O215">
        <f t="shared" si="11"/>
        <v>1</v>
      </c>
    </row>
    <row r="216" spans="1:15" x14ac:dyDescent="0.3">
      <c r="A216" t="s">
        <v>15</v>
      </c>
      <c r="B216" t="s">
        <v>103</v>
      </c>
      <c r="C216" t="s">
        <v>104</v>
      </c>
      <c r="D216">
        <v>2</v>
      </c>
      <c r="E216" t="s">
        <v>61</v>
      </c>
      <c r="F216" t="s">
        <v>62</v>
      </c>
      <c r="G216">
        <v>35</v>
      </c>
      <c r="H216">
        <v>48</v>
      </c>
      <c r="I216">
        <v>83</v>
      </c>
      <c r="J216">
        <f t="shared" si="9"/>
        <v>-13</v>
      </c>
      <c r="K216" t="s">
        <v>20</v>
      </c>
      <c r="L216">
        <f t="shared" si="10"/>
        <v>1</v>
      </c>
      <c r="M216">
        <v>9</v>
      </c>
      <c r="N216">
        <v>2</v>
      </c>
      <c r="O216">
        <f t="shared" si="11"/>
        <v>1</v>
      </c>
    </row>
    <row r="217" spans="1:15" x14ac:dyDescent="0.3">
      <c r="A217" t="s">
        <v>15</v>
      </c>
      <c r="B217" t="s">
        <v>103</v>
      </c>
      <c r="C217" t="s">
        <v>104</v>
      </c>
      <c r="D217">
        <v>2</v>
      </c>
      <c r="E217" t="s">
        <v>63</v>
      </c>
      <c r="F217" t="s">
        <v>64</v>
      </c>
      <c r="G217">
        <v>88</v>
      </c>
      <c r="H217">
        <v>0</v>
      </c>
      <c r="I217">
        <v>88</v>
      </c>
      <c r="J217">
        <f t="shared" si="9"/>
        <v>0</v>
      </c>
      <c r="K217" t="s">
        <v>20</v>
      </c>
      <c r="L217">
        <f t="shared" si="10"/>
        <v>1</v>
      </c>
      <c r="M217">
        <v>9</v>
      </c>
      <c r="N217">
        <v>1</v>
      </c>
      <c r="O217">
        <f t="shared" si="11"/>
        <v>0</v>
      </c>
    </row>
    <row r="218" spans="1:15" x14ac:dyDescent="0.3">
      <c r="A218" t="s">
        <v>15</v>
      </c>
      <c r="B218" t="s">
        <v>103</v>
      </c>
      <c r="C218" t="s">
        <v>104</v>
      </c>
      <c r="D218">
        <v>2</v>
      </c>
      <c r="E218" t="s">
        <v>31</v>
      </c>
      <c r="F218" t="s">
        <v>32</v>
      </c>
      <c r="G218">
        <v>96</v>
      </c>
      <c r="H218">
        <v>0</v>
      </c>
      <c r="I218">
        <v>96</v>
      </c>
      <c r="J218">
        <f t="shared" si="9"/>
        <v>0</v>
      </c>
      <c r="K218" t="s">
        <v>20</v>
      </c>
      <c r="L218">
        <f t="shared" si="10"/>
        <v>1</v>
      </c>
      <c r="M218">
        <v>10</v>
      </c>
      <c r="N218">
        <v>1</v>
      </c>
      <c r="O218">
        <f t="shared" si="11"/>
        <v>0</v>
      </c>
    </row>
    <row r="219" spans="1:15" x14ac:dyDescent="0.3">
      <c r="A219" t="s">
        <v>15</v>
      </c>
      <c r="B219" t="s">
        <v>103</v>
      </c>
      <c r="C219" t="s">
        <v>104</v>
      </c>
      <c r="D219">
        <v>2</v>
      </c>
      <c r="E219" t="s">
        <v>33</v>
      </c>
      <c r="F219" t="s">
        <v>34</v>
      </c>
      <c r="G219">
        <v>41</v>
      </c>
      <c r="H219">
        <v>26</v>
      </c>
      <c r="I219">
        <v>67</v>
      </c>
      <c r="J219">
        <f t="shared" si="9"/>
        <v>15</v>
      </c>
      <c r="K219" t="s">
        <v>20</v>
      </c>
      <c r="L219">
        <f t="shared" si="10"/>
        <v>1</v>
      </c>
      <c r="M219">
        <v>7</v>
      </c>
      <c r="N219">
        <v>4</v>
      </c>
      <c r="O219">
        <f t="shared" si="11"/>
        <v>1</v>
      </c>
    </row>
    <row r="220" spans="1:15" x14ac:dyDescent="0.3">
      <c r="A220" t="s">
        <v>15</v>
      </c>
      <c r="B220" t="s">
        <v>103</v>
      </c>
      <c r="C220" t="s">
        <v>104</v>
      </c>
      <c r="D220">
        <v>2</v>
      </c>
      <c r="E220" t="s">
        <v>35</v>
      </c>
      <c r="F220" t="s">
        <v>36</v>
      </c>
      <c r="G220">
        <v>33</v>
      </c>
      <c r="H220">
        <v>49</v>
      </c>
      <c r="I220">
        <v>82</v>
      </c>
      <c r="J220">
        <f t="shared" si="9"/>
        <v>-16</v>
      </c>
      <c r="K220" t="s">
        <v>20</v>
      </c>
      <c r="L220">
        <f t="shared" si="10"/>
        <v>1</v>
      </c>
      <c r="M220">
        <v>9</v>
      </c>
      <c r="N220">
        <v>3</v>
      </c>
      <c r="O220">
        <f t="shared" si="11"/>
        <v>1</v>
      </c>
    </row>
    <row r="221" spans="1:15" x14ac:dyDescent="0.3">
      <c r="A221" t="s">
        <v>15</v>
      </c>
      <c r="B221" t="s">
        <v>103</v>
      </c>
      <c r="C221" t="s">
        <v>104</v>
      </c>
      <c r="D221">
        <v>2</v>
      </c>
      <c r="E221" t="s">
        <v>37</v>
      </c>
      <c r="F221" t="s">
        <v>38</v>
      </c>
      <c r="G221">
        <v>36</v>
      </c>
      <c r="H221">
        <v>38</v>
      </c>
      <c r="I221">
        <v>74</v>
      </c>
      <c r="J221">
        <f t="shared" si="9"/>
        <v>-2</v>
      </c>
      <c r="K221" t="s">
        <v>20</v>
      </c>
      <c r="L221">
        <f t="shared" si="10"/>
        <v>1</v>
      </c>
      <c r="M221">
        <v>8</v>
      </c>
      <c r="N221">
        <v>3</v>
      </c>
      <c r="O221">
        <f t="shared" si="11"/>
        <v>1</v>
      </c>
    </row>
    <row r="222" spans="1:15" x14ac:dyDescent="0.3">
      <c r="A222" t="s">
        <v>15</v>
      </c>
      <c r="B222" t="s">
        <v>103</v>
      </c>
      <c r="C222" t="s">
        <v>104</v>
      </c>
      <c r="D222">
        <v>1</v>
      </c>
      <c r="E222" t="s">
        <v>39</v>
      </c>
      <c r="F222" t="s">
        <v>40</v>
      </c>
      <c r="G222">
        <v>94</v>
      </c>
      <c r="H222">
        <v>0</v>
      </c>
      <c r="I222">
        <v>94</v>
      </c>
      <c r="J222">
        <f t="shared" si="9"/>
        <v>0</v>
      </c>
      <c r="K222" t="s">
        <v>20</v>
      </c>
      <c r="L222">
        <f t="shared" si="10"/>
        <v>1</v>
      </c>
      <c r="M222">
        <v>10</v>
      </c>
      <c r="N222">
        <v>1</v>
      </c>
      <c r="O222">
        <f t="shared" si="11"/>
        <v>0</v>
      </c>
    </row>
    <row r="223" spans="1:15" x14ac:dyDescent="0.3">
      <c r="A223" t="s">
        <v>15</v>
      </c>
      <c r="B223" t="s">
        <v>103</v>
      </c>
      <c r="C223" t="s">
        <v>104</v>
      </c>
      <c r="D223">
        <v>1</v>
      </c>
      <c r="E223" t="s">
        <v>41</v>
      </c>
      <c r="F223" t="s">
        <v>42</v>
      </c>
      <c r="G223">
        <v>28</v>
      </c>
      <c r="H223">
        <v>41</v>
      </c>
      <c r="I223">
        <v>69</v>
      </c>
      <c r="J223">
        <f t="shared" si="9"/>
        <v>-13</v>
      </c>
      <c r="K223" t="s">
        <v>20</v>
      </c>
      <c r="L223">
        <f t="shared" si="10"/>
        <v>1</v>
      </c>
      <c r="M223">
        <v>9</v>
      </c>
      <c r="N223">
        <v>3</v>
      </c>
      <c r="O223">
        <f t="shared" si="11"/>
        <v>1</v>
      </c>
    </row>
    <row r="224" spans="1:15" x14ac:dyDescent="0.3">
      <c r="A224" t="s">
        <v>15</v>
      </c>
      <c r="B224" t="s">
        <v>103</v>
      </c>
      <c r="C224" t="s">
        <v>104</v>
      </c>
      <c r="D224">
        <v>1</v>
      </c>
      <c r="E224" t="s">
        <v>43</v>
      </c>
      <c r="F224" t="s">
        <v>44</v>
      </c>
      <c r="G224">
        <v>72</v>
      </c>
      <c r="H224">
        <v>0</v>
      </c>
      <c r="I224">
        <v>72</v>
      </c>
      <c r="J224">
        <f t="shared" si="9"/>
        <v>0</v>
      </c>
      <c r="K224" t="s">
        <v>20</v>
      </c>
      <c r="L224">
        <f t="shared" si="10"/>
        <v>1</v>
      </c>
      <c r="M224">
        <v>8</v>
      </c>
      <c r="N224">
        <v>1</v>
      </c>
      <c r="O224">
        <f t="shared" si="11"/>
        <v>0</v>
      </c>
    </row>
    <row r="225" spans="1:15" x14ac:dyDescent="0.3">
      <c r="A225" t="s">
        <v>15</v>
      </c>
      <c r="B225" t="s">
        <v>103</v>
      </c>
      <c r="C225" t="s">
        <v>104</v>
      </c>
      <c r="D225">
        <v>1</v>
      </c>
      <c r="E225" t="s">
        <v>45</v>
      </c>
      <c r="F225" t="s">
        <v>46</v>
      </c>
      <c r="G225">
        <v>34</v>
      </c>
      <c r="H225">
        <v>55</v>
      </c>
      <c r="I225">
        <v>89</v>
      </c>
      <c r="J225">
        <f t="shared" si="9"/>
        <v>-21</v>
      </c>
      <c r="K225" t="s">
        <v>20</v>
      </c>
      <c r="L225">
        <f t="shared" si="10"/>
        <v>1</v>
      </c>
      <c r="M225">
        <v>10</v>
      </c>
      <c r="N225">
        <v>1</v>
      </c>
      <c r="O225">
        <f t="shared" si="11"/>
        <v>1</v>
      </c>
    </row>
    <row r="226" spans="1:15" x14ac:dyDescent="0.3">
      <c r="A226" t="s">
        <v>15</v>
      </c>
      <c r="B226" t="s">
        <v>103</v>
      </c>
      <c r="C226" t="s">
        <v>104</v>
      </c>
      <c r="D226">
        <v>1</v>
      </c>
      <c r="E226" t="s">
        <v>105</v>
      </c>
      <c r="F226" t="s">
        <v>106</v>
      </c>
      <c r="G226">
        <v>78</v>
      </c>
      <c r="H226">
        <v>0</v>
      </c>
      <c r="I226">
        <v>78</v>
      </c>
      <c r="J226">
        <f t="shared" si="9"/>
        <v>0</v>
      </c>
      <c r="K226" t="s">
        <v>20</v>
      </c>
      <c r="L226">
        <f t="shared" si="10"/>
        <v>1</v>
      </c>
      <c r="M226">
        <v>8</v>
      </c>
      <c r="N226">
        <v>1</v>
      </c>
      <c r="O226">
        <f t="shared" si="11"/>
        <v>0</v>
      </c>
    </row>
    <row r="227" spans="1:15" x14ac:dyDescent="0.3">
      <c r="A227" t="s">
        <v>15</v>
      </c>
      <c r="B227" t="s">
        <v>103</v>
      </c>
      <c r="C227" t="s">
        <v>104</v>
      </c>
      <c r="D227">
        <v>1</v>
      </c>
      <c r="E227" t="s">
        <v>49</v>
      </c>
      <c r="F227" t="s">
        <v>50</v>
      </c>
      <c r="G227">
        <v>90</v>
      </c>
      <c r="H227">
        <v>0</v>
      </c>
      <c r="I227">
        <v>90</v>
      </c>
      <c r="J227">
        <f t="shared" si="9"/>
        <v>0</v>
      </c>
      <c r="K227" t="s">
        <v>20</v>
      </c>
      <c r="L227">
        <f t="shared" si="10"/>
        <v>1</v>
      </c>
      <c r="M227">
        <v>9</v>
      </c>
      <c r="N227">
        <v>1</v>
      </c>
      <c r="O227">
        <f t="shared" si="11"/>
        <v>0</v>
      </c>
    </row>
    <row r="228" spans="1:15" x14ac:dyDescent="0.3">
      <c r="A228" t="s">
        <v>15</v>
      </c>
      <c r="B228" t="s">
        <v>103</v>
      </c>
      <c r="C228" t="s">
        <v>104</v>
      </c>
      <c r="D228">
        <v>1</v>
      </c>
      <c r="E228" t="s">
        <v>51</v>
      </c>
      <c r="F228" t="s">
        <v>52</v>
      </c>
      <c r="G228">
        <v>88</v>
      </c>
      <c r="H228">
        <v>0</v>
      </c>
      <c r="I228">
        <v>88</v>
      </c>
      <c r="J228">
        <f t="shared" si="9"/>
        <v>0</v>
      </c>
      <c r="K228" t="s">
        <v>20</v>
      </c>
      <c r="L228">
        <f t="shared" si="10"/>
        <v>1</v>
      </c>
      <c r="M228">
        <v>9</v>
      </c>
      <c r="N228">
        <v>1</v>
      </c>
      <c r="O228">
        <f t="shared" si="11"/>
        <v>0</v>
      </c>
    </row>
    <row r="229" spans="1:15" x14ac:dyDescent="0.3">
      <c r="A229" t="s">
        <v>15</v>
      </c>
      <c r="B229" t="s">
        <v>103</v>
      </c>
      <c r="C229" t="s">
        <v>104</v>
      </c>
      <c r="D229">
        <v>1</v>
      </c>
      <c r="E229" t="s">
        <v>53</v>
      </c>
      <c r="F229" t="s">
        <v>54</v>
      </c>
      <c r="G229">
        <v>43</v>
      </c>
      <c r="H229">
        <v>45</v>
      </c>
      <c r="I229">
        <v>88</v>
      </c>
      <c r="J229">
        <f t="shared" si="9"/>
        <v>-2</v>
      </c>
      <c r="K229" t="s">
        <v>20</v>
      </c>
      <c r="L229">
        <f t="shared" si="10"/>
        <v>1</v>
      </c>
      <c r="M229">
        <v>9</v>
      </c>
      <c r="N229">
        <v>4</v>
      </c>
      <c r="O229">
        <f t="shared" si="11"/>
        <v>1</v>
      </c>
    </row>
    <row r="230" spans="1:15" x14ac:dyDescent="0.3">
      <c r="A230" t="s">
        <v>15</v>
      </c>
      <c r="B230" t="s">
        <v>103</v>
      </c>
      <c r="C230" t="s">
        <v>104</v>
      </c>
      <c r="D230">
        <v>1</v>
      </c>
      <c r="E230" t="s">
        <v>55</v>
      </c>
      <c r="F230" t="s">
        <v>56</v>
      </c>
      <c r="G230">
        <v>43</v>
      </c>
      <c r="H230">
        <v>48</v>
      </c>
      <c r="I230">
        <v>91</v>
      </c>
      <c r="J230">
        <f t="shared" si="9"/>
        <v>-5</v>
      </c>
      <c r="K230" t="s">
        <v>20</v>
      </c>
      <c r="L230">
        <f t="shared" si="10"/>
        <v>1</v>
      </c>
      <c r="M230">
        <v>9</v>
      </c>
      <c r="N230">
        <v>3</v>
      </c>
      <c r="O230">
        <f t="shared" si="11"/>
        <v>1</v>
      </c>
    </row>
    <row r="231" spans="1:15" x14ac:dyDescent="0.3">
      <c r="A231" t="s">
        <v>15</v>
      </c>
      <c r="B231" t="s">
        <v>103</v>
      </c>
      <c r="C231" t="s">
        <v>104</v>
      </c>
      <c r="D231">
        <v>1</v>
      </c>
      <c r="E231" t="s">
        <v>57</v>
      </c>
      <c r="F231" t="s">
        <v>58</v>
      </c>
      <c r="G231">
        <v>44</v>
      </c>
      <c r="H231">
        <v>41</v>
      </c>
      <c r="I231">
        <v>85</v>
      </c>
      <c r="J231">
        <f t="shared" si="9"/>
        <v>3</v>
      </c>
      <c r="K231" t="s">
        <v>20</v>
      </c>
      <c r="L231">
        <f t="shared" si="10"/>
        <v>1</v>
      </c>
      <c r="M231">
        <v>9</v>
      </c>
      <c r="N231">
        <v>4</v>
      </c>
      <c r="O231">
        <f t="shared" si="11"/>
        <v>1</v>
      </c>
    </row>
    <row r="232" spans="1:15" x14ac:dyDescent="0.3">
      <c r="A232" t="s">
        <v>15</v>
      </c>
      <c r="B232" t="s">
        <v>107</v>
      </c>
      <c r="C232" t="s">
        <v>108</v>
      </c>
      <c r="D232">
        <v>2</v>
      </c>
      <c r="E232" t="s">
        <v>18</v>
      </c>
      <c r="F232" t="s">
        <v>19</v>
      </c>
      <c r="G232">
        <v>46</v>
      </c>
      <c r="H232">
        <v>38</v>
      </c>
      <c r="I232">
        <v>84</v>
      </c>
      <c r="J232">
        <f t="shared" si="9"/>
        <v>8</v>
      </c>
      <c r="K232" t="s">
        <v>20</v>
      </c>
      <c r="L232">
        <f t="shared" si="10"/>
        <v>1</v>
      </c>
      <c r="M232">
        <v>8</v>
      </c>
      <c r="N232">
        <v>4</v>
      </c>
      <c r="O232">
        <f t="shared" si="11"/>
        <v>1</v>
      </c>
    </row>
    <row r="233" spans="1:15" x14ac:dyDescent="0.3">
      <c r="A233" t="s">
        <v>15</v>
      </c>
      <c r="B233" t="s">
        <v>107</v>
      </c>
      <c r="C233" t="s">
        <v>108</v>
      </c>
      <c r="D233">
        <v>2</v>
      </c>
      <c r="E233" t="s">
        <v>21</v>
      </c>
      <c r="F233" t="s">
        <v>22</v>
      </c>
      <c r="G233">
        <v>44</v>
      </c>
      <c r="H233">
        <v>39</v>
      </c>
      <c r="I233">
        <v>83</v>
      </c>
      <c r="J233">
        <f t="shared" si="9"/>
        <v>5</v>
      </c>
      <c r="K233" t="s">
        <v>20</v>
      </c>
      <c r="L233">
        <f t="shared" si="10"/>
        <v>1</v>
      </c>
      <c r="M233">
        <v>9</v>
      </c>
      <c r="N233">
        <v>4</v>
      </c>
      <c r="O233">
        <f t="shared" si="11"/>
        <v>1</v>
      </c>
    </row>
    <row r="234" spans="1:15" x14ac:dyDescent="0.3">
      <c r="A234" t="s">
        <v>15</v>
      </c>
      <c r="B234" t="s">
        <v>107</v>
      </c>
      <c r="C234" t="s">
        <v>108</v>
      </c>
      <c r="D234">
        <v>2</v>
      </c>
      <c r="E234" t="s">
        <v>23</v>
      </c>
      <c r="F234" t="s">
        <v>24</v>
      </c>
      <c r="G234">
        <v>84</v>
      </c>
      <c r="H234">
        <v>0</v>
      </c>
      <c r="I234">
        <v>84</v>
      </c>
      <c r="J234">
        <f t="shared" si="9"/>
        <v>0</v>
      </c>
      <c r="K234" t="s">
        <v>20</v>
      </c>
      <c r="L234">
        <f t="shared" si="10"/>
        <v>1</v>
      </c>
      <c r="M234">
        <v>9</v>
      </c>
      <c r="N234">
        <v>1</v>
      </c>
      <c r="O234">
        <f t="shared" si="11"/>
        <v>0</v>
      </c>
    </row>
    <row r="235" spans="1:15" x14ac:dyDescent="0.3">
      <c r="A235" t="s">
        <v>15</v>
      </c>
      <c r="B235" t="s">
        <v>107</v>
      </c>
      <c r="C235" t="s">
        <v>108</v>
      </c>
      <c r="D235">
        <v>2</v>
      </c>
      <c r="E235" t="s">
        <v>25</v>
      </c>
      <c r="F235" t="s">
        <v>26</v>
      </c>
      <c r="G235">
        <v>40</v>
      </c>
      <c r="H235">
        <v>38</v>
      </c>
      <c r="I235">
        <v>78</v>
      </c>
      <c r="J235">
        <f t="shared" si="9"/>
        <v>2</v>
      </c>
      <c r="K235" t="s">
        <v>20</v>
      </c>
      <c r="L235">
        <f t="shared" si="10"/>
        <v>1</v>
      </c>
      <c r="M235">
        <v>8</v>
      </c>
      <c r="N235">
        <v>1</v>
      </c>
      <c r="O235">
        <f t="shared" si="11"/>
        <v>1</v>
      </c>
    </row>
    <row r="236" spans="1:15" x14ac:dyDescent="0.3">
      <c r="A236" t="s">
        <v>15</v>
      </c>
      <c r="B236" t="s">
        <v>107</v>
      </c>
      <c r="C236" t="s">
        <v>108</v>
      </c>
      <c r="D236">
        <v>2</v>
      </c>
      <c r="E236" t="s">
        <v>27</v>
      </c>
      <c r="F236" t="s">
        <v>28</v>
      </c>
      <c r="G236">
        <v>32</v>
      </c>
      <c r="H236">
        <v>37</v>
      </c>
      <c r="I236">
        <v>69</v>
      </c>
      <c r="J236">
        <f t="shared" si="9"/>
        <v>-5</v>
      </c>
      <c r="K236" t="s">
        <v>20</v>
      </c>
      <c r="L236">
        <f t="shared" si="10"/>
        <v>1</v>
      </c>
      <c r="M236">
        <v>7</v>
      </c>
      <c r="N236">
        <v>2</v>
      </c>
      <c r="O236">
        <f t="shared" si="11"/>
        <v>1</v>
      </c>
    </row>
    <row r="237" spans="1:15" x14ac:dyDescent="0.3">
      <c r="A237" t="s">
        <v>15</v>
      </c>
      <c r="B237" t="s">
        <v>107</v>
      </c>
      <c r="C237" t="s">
        <v>108</v>
      </c>
      <c r="D237">
        <v>2</v>
      </c>
      <c r="E237" t="s">
        <v>109</v>
      </c>
      <c r="F237" t="s">
        <v>110</v>
      </c>
      <c r="G237">
        <v>92</v>
      </c>
      <c r="H237">
        <v>0</v>
      </c>
      <c r="I237">
        <v>92</v>
      </c>
      <c r="J237">
        <f t="shared" si="9"/>
        <v>0</v>
      </c>
      <c r="K237" t="s">
        <v>20</v>
      </c>
      <c r="L237">
        <f t="shared" si="10"/>
        <v>1</v>
      </c>
      <c r="M237">
        <v>10</v>
      </c>
      <c r="N237">
        <v>1</v>
      </c>
      <c r="O237">
        <f t="shared" si="11"/>
        <v>0</v>
      </c>
    </row>
    <row r="238" spans="1:15" x14ac:dyDescent="0.3">
      <c r="A238" t="s">
        <v>15</v>
      </c>
      <c r="B238" t="s">
        <v>107</v>
      </c>
      <c r="C238" t="s">
        <v>108</v>
      </c>
      <c r="D238">
        <v>2</v>
      </c>
      <c r="E238" t="s">
        <v>31</v>
      </c>
      <c r="F238" t="s">
        <v>32</v>
      </c>
      <c r="G238">
        <v>96</v>
      </c>
      <c r="H238">
        <v>0</v>
      </c>
      <c r="I238">
        <v>96</v>
      </c>
      <c r="J238">
        <f t="shared" si="9"/>
        <v>0</v>
      </c>
      <c r="K238" t="s">
        <v>20</v>
      </c>
      <c r="L238">
        <f t="shared" si="10"/>
        <v>1</v>
      </c>
      <c r="M238">
        <v>10</v>
      </c>
      <c r="N238">
        <v>1</v>
      </c>
      <c r="O238">
        <f t="shared" si="11"/>
        <v>0</v>
      </c>
    </row>
    <row r="239" spans="1:15" x14ac:dyDescent="0.3">
      <c r="A239" t="s">
        <v>15</v>
      </c>
      <c r="B239" t="s">
        <v>107</v>
      </c>
      <c r="C239" t="s">
        <v>108</v>
      </c>
      <c r="D239">
        <v>2</v>
      </c>
      <c r="E239" t="s">
        <v>33</v>
      </c>
      <c r="F239" t="s">
        <v>34</v>
      </c>
      <c r="G239">
        <v>48</v>
      </c>
      <c r="H239">
        <v>30</v>
      </c>
      <c r="I239">
        <v>78</v>
      </c>
      <c r="J239">
        <f t="shared" si="9"/>
        <v>18</v>
      </c>
      <c r="K239" t="s">
        <v>20</v>
      </c>
      <c r="L239">
        <f t="shared" si="10"/>
        <v>1</v>
      </c>
      <c r="M239">
        <v>8</v>
      </c>
      <c r="N239">
        <v>4</v>
      </c>
      <c r="O239">
        <f t="shared" si="11"/>
        <v>1</v>
      </c>
    </row>
    <row r="240" spans="1:15" x14ac:dyDescent="0.3">
      <c r="A240" t="s">
        <v>15</v>
      </c>
      <c r="B240" t="s">
        <v>107</v>
      </c>
      <c r="C240" t="s">
        <v>108</v>
      </c>
      <c r="D240">
        <v>2</v>
      </c>
      <c r="E240" t="s">
        <v>35</v>
      </c>
      <c r="F240" t="s">
        <v>36</v>
      </c>
      <c r="G240">
        <v>33</v>
      </c>
      <c r="H240">
        <v>47</v>
      </c>
      <c r="I240">
        <v>80</v>
      </c>
      <c r="J240">
        <f t="shared" si="9"/>
        <v>-14</v>
      </c>
      <c r="K240" t="s">
        <v>20</v>
      </c>
      <c r="L240">
        <f t="shared" si="10"/>
        <v>1</v>
      </c>
      <c r="M240">
        <v>8</v>
      </c>
      <c r="N240">
        <v>3</v>
      </c>
      <c r="O240">
        <f t="shared" si="11"/>
        <v>1</v>
      </c>
    </row>
    <row r="241" spans="1:15" x14ac:dyDescent="0.3">
      <c r="A241" t="s">
        <v>15</v>
      </c>
      <c r="B241" t="s">
        <v>107</v>
      </c>
      <c r="C241" t="s">
        <v>108</v>
      </c>
      <c r="D241">
        <v>2</v>
      </c>
      <c r="E241" t="s">
        <v>37</v>
      </c>
      <c r="F241" t="s">
        <v>38</v>
      </c>
      <c r="G241">
        <v>38</v>
      </c>
      <c r="H241">
        <v>40</v>
      </c>
      <c r="I241">
        <v>78</v>
      </c>
      <c r="J241">
        <f t="shared" si="9"/>
        <v>-2</v>
      </c>
      <c r="K241" t="s">
        <v>20</v>
      </c>
      <c r="L241">
        <f t="shared" si="10"/>
        <v>1</v>
      </c>
      <c r="M241">
        <v>8</v>
      </c>
      <c r="N241">
        <v>3</v>
      </c>
      <c r="O241">
        <f t="shared" si="11"/>
        <v>1</v>
      </c>
    </row>
    <row r="242" spans="1:15" x14ac:dyDescent="0.3">
      <c r="A242" t="s">
        <v>15</v>
      </c>
      <c r="B242" t="s">
        <v>107</v>
      </c>
      <c r="C242" t="s">
        <v>108</v>
      </c>
      <c r="D242">
        <v>1</v>
      </c>
      <c r="E242" t="s">
        <v>39</v>
      </c>
      <c r="F242" t="s">
        <v>40</v>
      </c>
      <c r="G242">
        <v>88</v>
      </c>
      <c r="H242">
        <v>0</v>
      </c>
      <c r="I242">
        <v>88</v>
      </c>
      <c r="J242">
        <f t="shared" si="9"/>
        <v>0</v>
      </c>
      <c r="K242" t="s">
        <v>20</v>
      </c>
      <c r="L242">
        <f t="shared" si="10"/>
        <v>1</v>
      </c>
      <c r="M242">
        <v>9</v>
      </c>
      <c r="N242">
        <v>1</v>
      </c>
      <c r="O242">
        <f t="shared" si="11"/>
        <v>0</v>
      </c>
    </row>
    <row r="243" spans="1:15" x14ac:dyDescent="0.3">
      <c r="A243" t="s">
        <v>15</v>
      </c>
      <c r="B243" t="s">
        <v>107</v>
      </c>
      <c r="C243" t="s">
        <v>108</v>
      </c>
      <c r="D243">
        <v>1</v>
      </c>
      <c r="E243" t="s">
        <v>41</v>
      </c>
      <c r="F243" t="s">
        <v>42</v>
      </c>
      <c r="G243">
        <v>28</v>
      </c>
      <c r="H243">
        <v>45</v>
      </c>
      <c r="I243">
        <v>73</v>
      </c>
      <c r="J243">
        <f t="shared" si="9"/>
        <v>-17</v>
      </c>
      <c r="K243" t="s">
        <v>20</v>
      </c>
      <c r="L243">
        <f t="shared" si="10"/>
        <v>1</v>
      </c>
      <c r="M243">
        <v>9</v>
      </c>
      <c r="N243">
        <v>3</v>
      </c>
      <c r="O243">
        <f t="shared" si="11"/>
        <v>1</v>
      </c>
    </row>
    <row r="244" spans="1:15" x14ac:dyDescent="0.3">
      <c r="A244" t="s">
        <v>15</v>
      </c>
      <c r="B244" t="s">
        <v>107</v>
      </c>
      <c r="C244" t="s">
        <v>108</v>
      </c>
      <c r="D244">
        <v>1</v>
      </c>
      <c r="E244" t="s">
        <v>43</v>
      </c>
      <c r="F244" t="s">
        <v>44</v>
      </c>
      <c r="G244">
        <v>75</v>
      </c>
      <c r="H244">
        <v>0</v>
      </c>
      <c r="I244">
        <v>75</v>
      </c>
      <c r="J244">
        <f t="shared" si="9"/>
        <v>0</v>
      </c>
      <c r="K244" t="s">
        <v>20</v>
      </c>
      <c r="L244">
        <f t="shared" si="10"/>
        <v>1</v>
      </c>
      <c r="M244">
        <v>8</v>
      </c>
      <c r="N244">
        <v>1</v>
      </c>
      <c r="O244">
        <f t="shared" si="11"/>
        <v>0</v>
      </c>
    </row>
    <row r="245" spans="1:15" x14ac:dyDescent="0.3">
      <c r="A245" t="s">
        <v>15</v>
      </c>
      <c r="B245" t="s">
        <v>107</v>
      </c>
      <c r="C245" t="s">
        <v>108</v>
      </c>
      <c r="D245">
        <v>1</v>
      </c>
      <c r="E245" t="s">
        <v>45</v>
      </c>
      <c r="F245" t="s">
        <v>46</v>
      </c>
      <c r="G245">
        <v>32</v>
      </c>
      <c r="H245">
        <v>36</v>
      </c>
      <c r="I245">
        <v>68</v>
      </c>
      <c r="J245">
        <f t="shared" si="9"/>
        <v>-4</v>
      </c>
      <c r="K245" t="s">
        <v>20</v>
      </c>
      <c r="L245">
        <f t="shared" si="10"/>
        <v>1</v>
      </c>
      <c r="M245">
        <v>7</v>
      </c>
      <c r="N245">
        <v>1</v>
      </c>
      <c r="O245">
        <f t="shared" si="11"/>
        <v>1</v>
      </c>
    </row>
    <row r="246" spans="1:15" x14ac:dyDescent="0.3">
      <c r="A246" t="s">
        <v>15</v>
      </c>
      <c r="B246" t="s">
        <v>107</v>
      </c>
      <c r="C246" t="s">
        <v>108</v>
      </c>
      <c r="D246">
        <v>1</v>
      </c>
      <c r="E246" t="s">
        <v>71</v>
      </c>
      <c r="F246" t="s">
        <v>72</v>
      </c>
      <c r="G246">
        <v>95</v>
      </c>
      <c r="H246">
        <v>0</v>
      </c>
      <c r="I246">
        <v>95</v>
      </c>
      <c r="J246">
        <f t="shared" si="9"/>
        <v>0</v>
      </c>
      <c r="K246" t="s">
        <v>20</v>
      </c>
      <c r="L246">
        <f t="shared" si="10"/>
        <v>1</v>
      </c>
      <c r="M246">
        <v>10</v>
      </c>
      <c r="N246">
        <v>1</v>
      </c>
      <c r="O246">
        <f t="shared" si="11"/>
        <v>0</v>
      </c>
    </row>
    <row r="247" spans="1:15" x14ac:dyDescent="0.3">
      <c r="A247" t="s">
        <v>15</v>
      </c>
      <c r="B247" t="s">
        <v>107</v>
      </c>
      <c r="C247" t="s">
        <v>108</v>
      </c>
      <c r="D247">
        <v>1</v>
      </c>
      <c r="E247" t="s">
        <v>49</v>
      </c>
      <c r="F247" t="s">
        <v>50</v>
      </c>
      <c r="G247">
        <v>100</v>
      </c>
      <c r="H247">
        <v>0</v>
      </c>
      <c r="I247">
        <v>100</v>
      </c>
      <c r="J247">
        <f t="shared" si="9"/>
        <v>0</v>
      </c>
      <c r="K247" t="s">
        <v>20</v>
      </c>
      <c r="L247">
        <f t="shared" si="10"/>
        <v>1</v>
      </c>
      <c r="M247">
        <v>10</v>
      </c>
      <c r="N247">
        <v>1</v>
      </c>
      <c r="O247">
        <f t="shared" si="11"/>
        <v>0</v>
      </c>
    </row>
    <row r="248" spans="1:15" x14ac:dyDescent="0.3">
      <c r="A248" t="s">
        <v>15</v>
      </c>
      <c r="B248" t="s">
        <v>107</v>
      </c>
      <c r="C248" t="s">
        <v>108</v>
      </c>
      <c r="D248">
        <v>1</v>
      </c>
      <c r="E248" t="s">
        <v>51</v>
      </c>
      <c r="F248" t="s">
        <v>52</v>
      </c>
      <c r="G248">
        <v>92</v>
      </c>
      <c r="H248">
        <v>0</v>
      </c>
      <c r="I248">
        <v>92</v>
      </c>
      <c r="J248">
        <f t="shared" si="9"/>
        <v>0</v>
      </c>
      <c r="K248" t="s">
        <v>20</v>
      </c>
      <c r="L248">
        <f t="shared" si="10"/>
        <v>1</v>
      </c>
      <c r="M248">
        <v>10</v>
      </c>
      <c r="N248">
        <v>1</v>
      </c>
      <c r="O248">
        <f t="shared" si="11"/>
        <v>0</v>
      </c>
    </row>
    <row r="249" spans="1:15" x14ac:dyDescent="0.3">
      <c r="A249" t="s">
        <v>15</v>
      </c>
      <c r="B249" t="s">
        <v>107</v>
      </c>
      <c r="C249" t="s">
        <v>108</v>
      </c>
      <c r="D249">
        <v>1</v>
      </c>
      <c r="E249" t="s">
        <v>53</v>
      </c>
      <c r="F249" t="s">
        <v>54</v>
      </c>
      <c r="G249">
        <v>45</v>
      </c>
      <c r="H249">
        <v>48</v>
      </c>
      <c r="I249">
        <v>93</v>
      </c>
      <c r="J249">
        <f t="shared" si="9"/>
        <v>-3</v>
      </c>
      <c r="K249" t="s">
        <v>20</v>
      </c>
      <c r="L249">
        <f t="shared" si="10"/>
        <v>1</v>
      </c>
      <c r="M249">
        <v>10</v>
      </c>
      <c r="N249">
        <v>4</v>
      </c>
      <c r="O249">
        <f t="shared" si="11"/>
        <v>1</v>
      </c>
    </row>
    <row r="250" spans="1:15" x14ac:dyDescent="0.3">
      <c r="A250" t="s">
        <v>15</v>
      </c>
      <c r="B250" t="s">
        <v>107</v>
      </c>
      <c r="C250" t="s">
        <v>108</v>
      </c>
      <c r="D250">
        <v>1</v>
      </c>
      <c r="E250" t="s">
        <v>55</v>
      </c>
      <c r="F250" t="s">
        <v>56</v>
      </c>
      <c r="G250">
        <v>43</v>
      </c>
      <c r="H250">
        <v>46</v>
      </c>
      <c r="I250">
        <v>89</v>
      </c>
      <c r="J250">
        <f t="shared" si="9"/>
        <v>-3</v>
      </c>
      <c r="K250" t="s">
        <v>20</v>
      </c>
      <c r="L250">
        <f t="shared" si="10"/>
        <v>1</v>
      </c>
      <c r="M250">
        <v>9</v>
      </c>
      <c r="N250">
        <v>3</v>
      </c>
      <c r="O250">
        <f t="shared" si="11"/>
        <v>1</v>
      </c>
    </row>
    <row r="251" spans="1:15" x14ac:dyDescent="0.3">
      <c r="A251" t="s">
        <v>15</v>
      </c>
      <c r="B251" t="s">
        <v>107</v>
      </c>
      <c r="C251" t="s">
        <v>108</v>
      </c>
      <c r="D251">
        <v>1</v>
      </c>
      <c r="E251" t="s">
        <v>57</v>
      </c>
      <c r="F251" t="s">
        <v>58</v>
      </c>
      <c r="G251">
        <v>45</v>
      </c>
      <c r="H251">
        <v>43</v>
      </c>
      <c r="I251">
        <v>88</v>
      </c>
      <c r="J251">
        <f t="shared" si="9"/>
        <v>2</v>
      </c>
      <c r="K251" t="s">
        <v>20</v>
      </c>
      <c r="L251">
        <f t="shared" si="10"/>
        <v>1</v>
      </c>
      <c r="M251">
        <v>10</v>
      </c>
      <c r="N251">
        <v>4</v>
      </c>
      <c r="O251">
        <f t="shared" si="11"/>
        <v>1</v>
      </c>
    </row>
    <row r="252" spans="1:15" x14ac:dyDescent="0.3">
      <c r="A252" t="s">
        <v>15</v>
      </c>
      <c r="B252" t="s">
        <v>111</v>
      </c>
      <c r="C252" t="s">
        <v>112</v>
      </c>
      <c r="D252">
        <v>2</v>
      </c>
      <c r="E252" t="s">
        <v>18</v>
      </c>
      <c r="F252" t="s">
        <v>19</v>
      </c>
      <c r="G252">
        <v>42</v>
      </c>
      <c r="H252">
        <v>32</v>
      </c>
      <c r="I252">
        <v>74</v>
      </c>
      <c r="J252">
        <f t="shared" si="9"/>
        <v>10</v>
      </c>
      <c r="K252" t="s">
        <v>20</v>
      </c>
      <c r="L252">
        <f t="shared" si="10"/>
        <v>1</v>
      </c>
      <c r="M252">
        <v>8</v>
      </c>
      <c r="N252">
        <v>4</v>
      </c>
      <c r="O252">
        <f t="shared" si="11"/>
        <v>1</v>
      </c>
    </row>
    <row r="253" spans="1:15" x14ac:dyDescent="0.3">
      <c r="A253" t="s">
        <v>15</v>
      </c>
      <c r="B253" t="s">
        <v>111</v>
      </c>
      <c r="C253" t="s">
        <v>112</v>
      </c>
      <c r="D253">
        <v>2</v>
      </c>
      <c r="E253" t="s">
        <v>21</v>
      </c>
      <c r="F253" t="s">
        <v>22</v>
      </c>
      <c r="G253">
        <v>42</v>
      </c>
      <c r="H253">
        <v>36</v>
      </c>
      <c r="I253">
        <v>78</v>
      </c>
      <c r="J253">
        <f t="shared" si="9"/>
        <v>6</v>
      </c>
      <c r="K253" t="s">
        <v>20</v>
      </c>
      <c r="L253">
        <f t="shared" si="10"/>
        <v>1</v>
      </c>
      <c r="M253">
        <v>8</v>
      </c>
      <c r="N253">
        <v>4</v>
      </c>
      <c r="O253">
        <f t="shared" si="11"/>
        <v>1</v>
      </c>
    </row>
    <row r="254" spans="1:15" x14ac:dyDescent="0.3">
      <c r="A254" t="s">
        <v>15</v>
      </c>
      <c r="B254" t="s">
        <v>111</v>
      </c>
      <c r="C254" t="s">
        <v>112</v>
      </c>
      <c r="D254">
        <v>2</v>
      </c>
      <c r="E254" t="s">
        <v>113</v>
      </c>
      <c r="F254" t="s">
        <v>114</v>
      </c>
      <c r="G254">
        <v>53</v>
      </c>
      <c r="H254">
        <v>34</v>
      </c>
      <c r="I254">
        <v>87</v>
      </c>
      <c r="J254">
        <f t="shared" si="9"/>
        <v>19</v>
      </c>
      <c r="K254" t="s">
        <v>20</v>
      </c>
      <c r="L254">
        <f t="shared" si="10"/>
        <v>1</v>
      </c>
      <c r="M254">
        <v>9</v>
      </c>
      <c r="N254">
        <v>2</v>
      </c>
      <c r="O254">
        <f t="shared" si="11"/>
        <v>1</v>
      </c>
    </row>
    <row r="255" spans="1:15" x14ac:dyDescent="0.3">
      <c r="A255" t="s">
        <v>15</v>
      </c>
      <c r="B255" t="s">
        <v>111</v>
      </c>
      <c r="C255" t="s">
        <v>112</v>
      </c>
      <c r="D255">
        <v>2</v>
      </c>
      <c r="E255" t="s">
        <v>23</v>
      </c>
      <c r="F255" t="s">
        <v>24</v>
      </c>
      <c r="G255">
        <v>84</v>
      </c>
      <c r="H255">
        <v>0</v>
      </c>
      <c r="I255">
        <v>84</v>
      </c>
      <c r="J255">
        <f t="shared" si="9"/>
        <v>0</v>
      </c>
      <c r="K255" t="s">
        <v>20</v>
      </c>
      <c r="L255">
        <f t="shared" si="10"/>
        <v>1</v>
      </c>
      <c r="M255">
        <v>9</v>
      </c>
      <c r="N255">
        <v>1</v>
      </c>
      <c r="O255">
        <f t="shared" si="11"/>
        <v>0</v>
      </c>
    </row>
    <row r="256" spans="1:15" x14ac:dyDescent="0.3">
      <c r="A256" t="s">
        <v>15</v>
      </c>
      <c r="B256" t="s">
        <v>111</v>
      </c>
      <c r="C256" t="s">
        <v>112</v>
      </c>
      <c r="D256">
        <v>2</v>
      </c>
      <c r="E256" t="s">
        <v>25</v>
      </c>
      <c r="F256" t="s">
        <v>26</v>
      </c>
      <c r="G256">
        <v>34</v>
      </c>
      <c r="H256">
        <v>34</v>
      </c>
      <c r="I256">
        <v>68</v>
      </c>
      <c r="J256">
        <f t="shared" si="9"/>
        <v>0</v>
      </c>
      <c r="K256" t="s">
        <v>20</v>
      </c>
      <c r="L256">
        <f t="shared" si="10"/>
        <v>1</v>
      </c>
      <c r="M256">
        <v>7</v>
      </c>
      <c r="N256">
        <v>1</v>
      </c>
      <c r="O256">
        <f t="shared" si="11"/>
        <v>1</v>
      </c>
    </row>
    <row r="257" spans="1:15" x14ac:dyDescent="0.3">
      <c r="A257" t="s">
        <v>15</v>
      </c>
      <c r="B257" t="s">
        <v>111</v>
      </c>
      <c r="C257" t="s">
        <v>112</v>
      </c>
      <c r="D257">
        <v>2</v>
      </c>
      <c r="E257" t="s">
        <v>115</v>
      </c>
      <c r="F257" t="s">
        <v>116</v>
      </c>
      <c r="G257">
        <v>88</v>
      </c>
      <c r="H257">
        <v>0</v>
      </c>
      <c r="I257">
        <v>88</v>
      </c>
      <c r="J257">
        <f t="shared" si="9"/>
        <v>0</v>
      </c>
      <c r="K257" t="s">
        <v>20</v>
      </c>
      <c r="L257">
        <f t="shared" si="10"/>
        <v>1</v>
      </c>
      <c r="M257">
        <v>9</v>
      </c>
      <c r="N257">
        <v>1</v>
      </c>
      <c r="O257">
        <f t="shared" si="11"/>
        <v>0</v>
      </c>
    </row>
    <row r="258" spans="1:15" x14ac:dyDescent="0.3">
      <c r="A258" t="s">
        <v>15</v>
      </c>
      <c r="B258" t="s">
        <v>111</v>
      </c>
      <c r="C258" t="s">
        <v>112</v>
      </c>
      <c r="D258">
        <v>2</v>
      </c>
      <c r="E258" t="s">
        <v>31</v>
      </c>
      <c r="F258" t="s">
        <v>32</v>
      </c>
      <c r="G258">
        <v>96</v>
      </c>
      <c r="H258">
        <v>0</v>
      </c>
      <c r="I258">
        <v>96</v>
      </c>
      <c r="J258">
        <f t="shared" ref="J258:J321" si="12">IF(H258=0,0,G258-H258)</f>
        <v>0</v>
      </c>
      <c r="K258" t="s">
        <v>20</v>
      </c>
      <c r="L258">
        <f t="shared" ref="L258:L321" si="13">IF(K258="Pass",1,0)</f>
        <v>1</v>
      </c>
      <c r="M258">
        <v>10</v>
      </c>
      <c r="N258">
        <v>1</v>
      </c>
      <c r="O258">
        <f t="shared" ref="O258:O321" si="14">IF(H258=0,0,1)</f>
        <v>0</v>
      </c>
    </row>
    <row r="259" spans="1:15" x14ac:dyDescent="0.3">
      <c r="A259" t="s">
        <v>15</v>
      </c>
      <c r="B259" t="s">
        <v>111</v>
      </c>
      <c r="C259" t="s">
        <v>112</v>
      </c>
      <c r="D259">
        <v>2</v>
      </c>
      <c r="E259" t="s">
        <v>33</v>
      </c>
      <c r="F259" t="s">
        <v>34</v>
      </c>
      <c r="G259">
        <v>45</v>
      </c>
      <c r="H259">
        <v>26</v>
      </c>
      <c r="I259">
        <v>71</v>
      </c>
      <c r="J259">
        <f t="shared" si="12"/>
        <v>19</v>
      </c>
      <c r="K259" t="s">
        <v>20</v>
      </c>
      <c r="L259">
        <f t="shared" si="13"/>
        <v>1</v>
      </c>
      <c r="M259">
        <v>8</v>
      </c>
      <c r="N259">
        <v>4</v>
      </c>
      <c r="O259">
        <f t="shared" si="14"/>
        <v>1</v>
      </c>
    </row>
    <row r="260" spans="1:15" x14ac:dyDescent="0.3">
      <c r="A260" t="s">
        <v>15</v>
      </c>
      <c r="B260" t="s">
        <v>111</v>
      </c>
      <c r="C260" t="s">
        <v>112</v>
      </c>
      <c r="D260">
        <v>2</v>
      </c>
      <c r="E260" t="s">
        <v>35</v>
      </c>
      <c r="F260" t="s">
        <v>36</v>
      </c>
      <c r="G260">
        <v>31</v>
      </c>
      <c r="H260">
        <v>43</v>
      </c>
      <c r="I260">
        <v>74</v>
      </c>
      <c r="J260">
        <f t="shared" si="12"/>
        <v>-12</v>
      </c>
      <c r="K260" t="s">
        <v>20</v>
      </c>
      <c r="L260">
        <f t="shared" si="13"/>
        <v>1</v>
      </c>
      <c r="M260">
        <v>8</v>
      </c>
      <c r="N260">
        <v>3</v>
      </c>
      <c r="O260">
        <f t="shared" si="14"/>
        <v>1</v>
      </c>
    </row>
    <row r="261" spans="1:15" x14ac:dyDescent="0.3">
      <c r="A261" t="s">
        <v>15</v>
      </c>
      <c r="B261" t="s">
        <v>111</v>
      </c>
      <c r="C261" t="s">
        <v>112</v>
      </c>
      <c r="D261">
        <v>2</v>
      </c>
      <c r="E261" t="s">
        <v>37</v>
      </c>
      <c r="F261" t="s">
        <v>38</v>
      </c>
      <c r="G261">
        <v>28</v>
      </c>
      <c r="H261">
        <v>46</v>
      </c>
      <c r="I261">
        <v>74</v>
      </c>
      <c r="J261">
        <f t="shared" si="12"/>
        <v>-18</v>
      </c>
      <c r="K261" t="s">
        <v>20</v>
      </c>
      <c r="L261">
        <f t="shared" si="13"/>
        <v>1</v>
      </c>
      <c r="M261">
        <v>8</v>
      </c>
      <c r="N261">
        <v>3</v>
      </c>
      <c r="O261">
        <f t="shared" si="14"/>
        <v>1</v>
      </c>
    </row>
    <row r="262" spans="1:15" x14ac:dyDescent="0.3">
      <c r="A262" t="s">
        <v>15</v>
      </c>
      <c r="B262" t="s">
        <v>111</v>
      </c>
      <c r="C262" t="s">
        <v>112</v>
      </c>
      <c r="D262">
        <v>1</v>
      </c>
      <c r="E262" t="s">
        <v>39</v>
      </c>
      <c r="F262" t="s">
        <v>40</v>
      </c>
      <c r="G262">
        <v>97</v>
      </c>
      <c r="H262">
        <v>0</v>
      </c>
      <c r="I262">
        <v>97</v>
      </c>
      <c r="J262">
        <f t="shared" si="12"/>
        <v>0</v>
      </c>
      <c r="K262" t="s">
        <v>20</v>
      </c>
      <c r="L262">
        <f t="shared" si="13"/>
        <v>1</v>
      </c>
      <c r="M262">
        <v>10</v>
      </c>
      <c r="N262">
        <v>1</v>
      </c>
      <c r="O262">
        <f t="shared" si="14"/>
        <v>0</v>
      </c>
    </row>
    <row r="263" spans="1:15" x14ac:dyDescent="0.3">
      <c r="A263" t="s">
        <v>15</v>
      </c>
      <c r="B263" t="s">
        <v>111</v>
      </c>
      <c r="C263" t="s">
        <v>112</v>
      </c>
      <c r="D263">
        <v>1</v>
      </c>
      <c r="E263" t="s">
        <v>41</v>
      </c>
      <c r="F263" t="s">
        <v>42</v>
      </c>
      <c r="G263">
        <v>33</v>
      </c>
      <c r="H263">
        <v>43</v>
      </c>
      <c r="I263">
        <v>76</v>
      </c>
      <c r="J263">
        <f t="shared" si="12"/>
        <v>-10</v>
      </c>
      <c r="K263" t="s">
        <v>20</v>
      </c>
      <c r="L263">
        <f t="shared" si="13"/>
        <v>1</v>
      </c>
      <c r="M263">
        <v>10</v>
      </c>
      <c r="N263">
        <v>3</v>
      </c>
      <c r="O263">
        <f t="shared" si="14"/>
        <v>1</v>
      </c>
    </row>
    <row r="264" spans="1:15" x14ac:dyDescent="0.3">
      <c r="A264" t="s">
        <v>15</v>
      </c>
      <c r="B264" t="s">
        <v>111</v>
      </c>
      <c r="C264" t="s">
        <v>112</v>
      </c>
      <c r="D264">
        <v>1</v>
      </c>
      <c r="E264" t="s">
        <v>43</v>
      </c>
      <c r="F264" t="s">
        <v>44</v>
      </c>
      <c r="G264">
        <v>68</v>
      </c>
      <c r="H264">
        <v>0</v>
      </c>
      <c r="I264">
        <v>68</v>
      </c>
      <c r="J264">
        <f t="shared" si="12"/>
        <v>0</v>
      </c>
      <c r="K264" t="s">
        <v>20</v>
      </c>
      <c r="L264">
        <f t="shared" si="13"/>
        <v>1</v>
      </c>
      <c r="M264">
        <v>7</v>
      </c>
      <c r="N264">
        <v>1</v>
      </c>
      <c r="O264">
        <f t="shared" si="14"/>
        <v>0</v>
      </c>
    </row>
    <row r="265" spans="1:15" x14ac:dyDescent="0.3">
      <c r="A265" t="s">
        <v>15</v>
      </c>
      <c r="B265" t="s">
        <v>111</v>
      </c>
      <c r="C265" t="s">
        <v>112</v>
      </c>
      <c r="D265">
        <v>1</v>
      </c>
      <c r="E265" t="s">
        <v>45</v>
      </c>
      <c r="F265" t="s">
        <v>46</v>
      </c>
      <c r="G265">
        <v>29</v>
      </c>
      <c r="H265">
        <v>39</v>
      </c>
      <c r="I265">
        <v>68</v>
      </c>
      <c r="J265">
        <f t="shared" si="12"/>
        <v>-10</v>
      </c>
      <c r="K265" t="s">
        <v>20</v>
      </c>
      <c r="L265">
        <f t="shared" si="13"/>
        <v>1</v>
      </c>
      <c r="M265">
        <v>7</v>
      </c>
      <c r="N265">
        <v>1</v>
      </c>
      <c r="O265">
        <f t="shared" si="14"/>
        <v>1</v>
      </c>
    </row>
    <row r="266" spans="1:15" x14ac:dyDescent="0.3">
      <c r="A266" t="s">
        <v>15</v>
      </c>
      <c r="B266" t="s">
        <v>111</v>
      </c>
      <c r="C266" t="s">
        <v>112</v>
      </c>
      <c r="D266">
        <v>1</v>
      </c>
      <c r="E266" t="s">
        <v>117</v>
      </c>
      <c r="F266" t="s">
        <v>118</v>
      </c>
      <c r="G266">
        <v>74</v>
      </c>
      <c r="H266">
        <v>0</v>
      </c>
      <c r="I266">
        <v>74</v>
      </c>
      <c r="J266">
        <f t="shared" si="12"/>
        <v>0</v>
      </c>
      <c r="K266" t="s">
        <v>20</v>
      </c>
      <c r="L266">
        <f t="shared" si="13"/>
        <v>1</v>
      </c>
      <c r="M266">
        <v>8</v>
      </c>
      <c r="N266">
        <v>1</v>
      </c>
      <c r="O266">
        <f t="shared" si="14"/>
        <v>0</v>
      </c>
    </row>
    <row r="267" spans="1:15" x14ac:dyDescent="0.3">
      <c r="A267" t="s">
        <v>15</v>
      </c>
      <c r="B267" t="s">
        <v>111</v>
      </c>
      <c r="C267" t="s">
        <v>112</v>
      </c>
      <c r="D267">
        <v>1</v>
      </c>
      <c r="E267" t="s">
        <v>49</v>
      </c>
      <c r="F267" t="s">
        <v>50</v>
      </c>
      <c r="G267">
        <v>80</v>
      </c>
      <c r="H267">
        <v>0</v>
      </c>
      <c r="I267">
        <v>80</v>
      </c>
      <c r="J267">
        <f t="shared" si="12"/>
        <v>0</v>
      </c>
      <c r="K267" t="s">
        <v>20</v>
      </c>
      <c r="L267">
        <f t="shared" si="13"/>
        <v>1</v>
      </c>
      <c r="M267">
        <v>8</v>
      </c>
      <c r="N267">
        <v>1</v>
      </c>
      <c r="O267">
        <f t="shared" si="14"/>
        <v>0</v>
      </c>
    </row>
    <row r="268" spans="1:15" x14ac:dyDescent="0.3">
      <c r="A268" t="s">
        <v>15</v>
      </c>
      <c r="B268" t="s">
        <v>111</v>
      </c>
      <c r="C268" t="s">
        <v>112</v>
      </c>
      <c r="D268">
        <v>1</v>
      </c>
      <c r="E268" t="s">
        <v>51</v>
      </c>
      <c r="F268" t="s">
        <v>52</v>
      </c>
      <c r="G268">
        <v>90</v>
      </c>
      <c r="H268">
        <v>0</v>
      </c>
      <c r="I268">
        <v>90</v>
      </c>
      <c r="J268">
        <f t="shared" si="12"/>
        <v>0</v>
      </c>
      <c r="K268" t="s">
        <v>20</v>
      </c>
      <c r="L268">
        <f t="shared" si="13"/>
        <v>1</v>
      </c>
      <c r="M268">
        <v>9</v>
      </c>
      <c r="N268">
        <v>1</v>
      </c>
      <c r="O268">
        <f t="shared" si="14"/>
        <v>0</v>
      </c>
    </row>
    <row r="269" spans="1:15" x14ac:dyDescent="0.3">
      <c r="A269" t="s">
        <v>15</v>
      </c>
      <c r="B269" t="s">
        <v>111</v>
      </c>
      <c r="C269" t="s">
        <v>112</v>
      </c>
      <c r="D269">
        <v>1</v>
      </c>
      <c r="E269" t="s">
        <v>53</v>
      </c>
      <c r="F269" t="s">
        <v>54</v>
      </c>
      <c r="G269">
        <v>43</v>
      </c>
      <c r="H269">
        <v>44</v>
      </c>
      <c r="I269">
        <v>87</v>
      </c>
      <c r="J269">
        <f t="shared" si="12"/>
        <v>-1</v>
      </c>
      <c r="K269" t="s">
        <v>20</v>
      </c>
      <c r="L269">
        <f t="shared" si="13"/>
        <v>1</v>
      </c>
      <c r="M269">
        <v>8</v>
      </c>
      <c r="N269">
        <v>4</v>
      </c>
      <c r="O269">
        <f t="shared" si="14"/>
        <v>1</v>
      </c>
    </row>
    <row r="270" spans="1:15" x14ac:dyDescent="0.3">
      <c r="A270" t="s">
        <v>15</v>
      </c>
      <c r="B270" t="s">
        <v>111</v>
      </c>
      <c r="C270" t="s">
        <v>112</v>
      </c>
      <c r="D270">
        <v>1</v>
      </c>
      <c r="E270" t="s">
        <v>55</v>
      </c>
      <c r="F270" t="s">
        <v>56</v>
      </c>
      <c r="G270">
        <v>37</v>
      </c>
      <c r="H270">
        <v>35</v>
      </c>
      <c r="I270">
        <v>72</v>
      </c>
      <c r="J270">
        <f t="shared" si="12"/>
        <v>2</v>
      </c>
      <c r="K270" t="s">
        <v>20</v>
      </c>
      <c r="L270">
        <f t="shared" si="13"/>
        <v>1</v>
      </c>
      <c r="M270">
        <v>7</v>
      </c>
      <c r="N270">
        <v>3</v>
      </c>
      <c r="O270">
        <f t="shared" si="14"/>
        <v>1</v>
      </c>
    </row>
    <row r="271" spans="1:15" x14ac:dyDescent="0.3">
      <c r="A271" t="s">
        <v>15</v>
      </c>
      <c r="B271" t="s">
        <v>111</v>
      </c>
      <c r="C271" t="s">
        <v>112</v>
      </c>
      <c r="D271">
        <v>1</v>
      </c>
      <c r="E271" t="s">
        <v>57</v>
      </c>
      <c r="F271" t="s">
        <v>58</v>
      </c>
      <c r="G271">
        <v>38</v>
      </c>
      <c r="H271">
        <v>40</v>
      </c>
      <c r="I271">
        <v>78</v>
      </c>
      <c r="J271">
        <f t="shared" si="12"/>
        <v>-2</v>
      </c>
      <c r="K271" t="s">
        <v>20</v>
      </c>
      <c r="L271">
        <f t="shared" si="13"/>
        <v>1</v>
      </c>
      <c r="M271">
        <v>8</v>
      </c>
      <c r="N271">
        <v>4</v>
      </c>
      <c r="O271">
        <f t="shared" si="14"/>
        <v>1</v>
      </c>
    </row>
    <row r="272" spans="1:15" x14ac:dyDescent="0.3">
      <c r="A272" t="s">
        <v>15</v>
      </c>
      <c r="B272" t="s">
        <v>119</v>
      </c>
      <c r="C272" t="s">
        <v>120</v>
      </c>
      <c r="D272">
        <v>2</v>
      </c>
      <c r="E272" t="s">
        <v>37</v>
      </c>
      <c r="F272" t="s">
        <v>38</v>
      </c>
      <c r="G272">
        <v>26</v>
      </c>
      <c r="H272">
        <v>19</v>
      </c>
      <c r="I272">
        <v>45</v>
      </c>
      <c r="J272">
        <f t="shared" si="12"/>
        <v>7</v>
      </c>
      <c r="K272" t="s">
        <v>87</v>
      </c>
      <c r="L272">
        <f t="shared" si="13"/>
        <v>0</v>
      </c>
      <c r="M272">
        <v>0</v>
      </c>
      <c r="N272">
        <v>3</v>
      </c>
      <c r="O272">
        <f t="shared" si="14"/>
        <v>1</v>
      </c>
    </row>
    <row r="273" spans="1:15" x14ac:dyDescent="0.3">
      <c r="A273" t="s">
        <v>15</v>
      </c>
      <c r="B273" t="s">
        <v>119</v>
      </c>
      <c r="C273" t="s">
        <v>120</v>
      </c>
      <c r="D273">
        <v>2</v>
      </c>
      <c r="E273" t="s">
        <v>18</v>
      </c>
      <c r="F273" t="s">
        <v>19</v>
      </c>
      <c r="G273">
        <v>41</v>
      </c>
      <c r="H273">
        <v>25</v>
      </c>
      <c r="I273">
        <v>66</v>
      </c>
      <c r="J273">
        <f t="shared" si="12"/>
        <v>16</v>
      </c>
      <c r="K273" t="s">
        <v>20</v>
      </c>
      <c r="L273">
        <f t="shared" si="13"/>
        <v>1</v>
      </c>
      <c r="M273">
        <v>7</v>
      </c>
      <c r="N273">
        <v>4</v>
      </c>
      <c r="O273">
        <f t="shared" si="14"/>
        <v>1</v>
      </c>
    </row>
    <row r="274" spans="1:15" x14ac:dyDescent="0.3">
      <c r="A274" t="s">
        <v>15</v>
      </c>
      <c r="B274" t="s">
        <v>119</v>
      </c>
      <c r="C274" t="s">
        <v>120</v>
      </c>
      <c r="D274">
        <v>2</v>
      </c>
      <c r="E274" t="s">
        <v>21</v>
      </c>
      <c r="F274" t="s">
        <v>22</v>
      </c>
      <c r="G274">
        <v>40</v>
      </c>
      <c r="H274">
        <v>28</v>
      </c>
      <c r="I274">
        <v>68</v>
      </c>
      <c r="J274">
        <f t="shared" si="12"/>
        <v>12</v>
      </c>
      <c r="K274" t="s">
        <v>20</v>
      </c>
      <c r="L274">
        <f t="shared" si="13"/>
        <v>1</v>
      </c>
      <c r="M274">
        <v>7</v>
      </c>
      <c r="N274">
        <v>4</v>
      </c>
      <c r="O274">
        <f t="shared" si="14"/>
        <v>1</v>
      </c>
    </row>
    <row r="275" spans="1:15" x14ac:dyDescent="0.3">
      <c r="A275" t="s">
        <v>15</v>
      </c>
      <c r="B275" t="s">
        <v>119</v>
      </c>
      <c r="C275" t="s">
        <v>120</v>
      </c>
      <c r="D275">
        <v>2</v>
      </c>
      <c r="E275" t="s">
        <v>23</v>
      </c>
      <c r="F275" t="s">
        <v>24</v>
      </c>
      <c r="G275">
        <v>84</v>
      </c>
      <c r="H275">
        <v>0</v>
      </c>
      <c r="I275">
        <v>84</v>
      </c>
      <c r="J275">
        <f t="shared" si="12"/>
        <v>0</v>
      </c>
      <c r="K275" t="s">
        <v>20</v>
      </c>
      <c r="L275">
        <f t="shared" si="13"/>
        <v>1</v>
      </c>
      <c r="M275">
        <v>9</v>
      </c>
      <c r="N275">
        <v>1</v>
      </c>
      <c r="O275">
        <f t="shared" si="14"/>
        <v>0</v>
      </c>
    </row>
    <row r="276" spans="1:15" x14ac:dyDescent="0.3">
      <c r="A276" t="s">
        <v>15</v>
      </c>
      <c r="B276" t="s">
        <v>119</v>
      </c>
      <c r="C276" t="s">
        <v>120</v>
      </c>
      <c r="D276">
        <v>2</v>
      </c>
      <c r="E276" t="s">
        <v>25</v>
      </c>
      <c r="F276" t="s">
        <v>26</v>
      </c>
      <c r="G276">
        <v>40</v>
      </c>
      <c r="H276">
        <v>31</v>
      </c>
      <c r="I276">
        <v>71</v>
      </c>
      <c r="J276">
        <f t="shared" si="12"/>
        <v>9</v>
      </c>
      <c r="K276" t="s">
        <v>20</v>
      </c>
      <c r="L276">
        <f t="shared" si="13"/>
        <v>1</v>
      </c>
      <c r="M276">
        <v>7</v>
      </c>
      <c r="N276">
        <v>1</v>
      </c>
      <c r="O276">
        <f t="shared" si="14"/>
        <v>1</v>
      </c>
    </row>
    <row r="277" spans="1:15" x14ac:dyDescent="0.3">
      <c r="A277" t="s">
        <v>15</v>
      </c>
      <c r="B277" t="s">
        <v>119</v>
      </c>
      <c r="C277" t="s">
        <v>120</v>
      </c>
      <c r="D277">
        <v>2</v>
      </c>
      <c r="E277" t="s">
        <v>61</v>
      </c>
      <c r="F277" t="s">
        <v>62</v>
      </c>
      <c r="G277">
        <v>29</v>
      </c>
      <c r="H277">
        <v>36</v>
      </c>
      <c r="I277">
        <v>65</v>
      </c>
      <c r="J277">
        <f t="shared" si="12"/>
        <v>-7</v>
      </c>
      <c r="K277" t="s">
        <v>20</v>
      </c>
      <c r="L277">
        <f t="shared" si="13"/>
        <v>1</v>
      </c>
      <c r="M277">
        <v>7</v>
      </c>
      <c r="N277">
        <v>2</v>
      </c>
      <c r="O277">
        <f t="shared" si="14"/>
        <v>1</v>
      </c>
    </row>
    <row r="278" spans="1:15" x14ac:dyDescent="0.3">
      <c r="A278" t="s">
        <v>15</v>
      </c>
      <c r="B278" t="s">
        <v>119</v>
      </c>
      <c r="C278" t="s">
        <v>120</v>
      </c>
      <c r="D278">
        <v>2</v>
      </c>
      <c r="E278" t="s">
        <v>109</v>
      </c>
      <c r="F278" t="s">
        <v>110</v>
      </c>
      <c r="G278">
        <v>86</v>
      </c>
      <c r="H278">
        <v>0</v>
      </c>
      <c r="I278">
        <v>86</v>
      </c>
      <c r="J278">
        <f t="shared" si="12"/>
        <v>0</v>
      </c>
      <c r="K278" t="s">
        <v>20</v>
      </c>
      <c r="L278">
        <f t="shared" si="13"/>
        <v>1</v>
      </c>
      <c r="M278">
        <v>9</v>
      </c>
      <c r="N278">
        <v>1</v>
      </c>
      <c r="O278">
        <f t="shared" si="14"/>
        <v>0</v>
      </c>
    </row>
    <row r="279" spans="1:15" x14ac:dyDescent="0.3">
      <c r="A279" t="s">
        <v>15</v>
      </c>
      <c r="B279" t="s">
        <v>119</v>
      </c>
      <c r="C279" t="s">
        <v>120</v>
      </c>
      <c r="D279">
        <v>2</v>
      </c>
      <c r="E279" t="s">
        <v>31</v>
      </c>
      <c r="F279" t="s">
        <v>32</v>
      </c>
      <c r="G279">
        <v>96</v>
      </c>
      <c r="H279">
        <v>0</v>
      </c>
      <c r="I279">
        <v>96</v>
      </c>
      <c r="J279">
        <f t="shared" si="12"/>
        <v>0</v>
      </c>
      <c r="K279" t="s">
        <v>20</v>
      </c>
      <c r="L279">
        <f t="shared" si="13"/>
        <v>1</v>
      </c>
      <c r="M279">
        <v>10</v>
      </c>
      <c r="N279">
        <v>1</v>
      </c>
      <c r="O279">
        <f t="shared" si="14"/>
        <v>0</v>
      </c>
    </row>
    <row r="280" spans="1:15" x14ac:dyDescent="0.3">
      <c r="A280" t="s">
        <v>15</v>
      </c>
      <c r="B280" t="s">
        <v>119</v>
      </c>
      <c r="C280" t="s">
        <v>120</v>
      </c>
      <c r="D280">
        <v>2</v>
      </c>
      <c r="E280" t="s">
        <v>33</v>
      </c>
      <c r="F280" t="s">
        <v>34</v>
      </c>
      <c r="G280">
        <v>42</v>
      </c>
      <c r="H280">
        <v>25</v>
      </c>
      <c r="I280">
        <v>67</v>
      </c>
      <c r="J280">
        <f t="shared" si="12"/>
        <v>17</v>
      </c>
      <c r="K280" t="s">
        <v>20</v>
      </c>
      <c r="L280">
        <f t="shared" si="13"/>
        <v>1</v>
      </c>
      <c r="M280">
        <v>7</v>
      </c>
      <c r="N280">
        <v>4</v>
      </c>
      <c r="O280">
        <f t="shared" si="14"/>
        <v>1</v>
      </c>
    </row>
    <row r="281" spans="1:15" x14ac:dyDescent="0.3">
      <c r="A281" t="s">
        <v>15</v>
      </c>
      <c r="B281" t="s">
        <v>119</v>
      </c>
      <c r="C281" t="s">
        <v>120</v>
      </c>
      <c r="D281">
        <v>2</v>
      </c>
      <c r="E281" t="s">
        <v>35</v>
      </c>
      <c r="F281" t="s">
        <v>36</v>
      </c>
      <c r="G281">
        <v>21</v>
      </c>
      <c r="H281">
        <v>35</v>
      </c>
      <c r="I281">
        <v>56</v>
      </c>
      <c r="J281">
        <f t="shared" si="12"/>
        <v>-14</v>
      </c>
      <c r="K281" t="s">
        <v>20</v>
      </c>
      <c r="L281">
        <f t="shared" si="13"/>
        <v>1</v>
      </c>
      <c r="M281">
        <v>6</v>
      </c>
      <c r="N281">
        <v>3</v>
      </c>
      <c r="O281">
        <f t="shared" si="14"/>
        <v>1</v>
      </c>
    </row>
    <row r="282" spans="1:15" x14ac:dyDescent="0.3">
      <c r="A282" t="s">
        <v>15</v>
      </c>
      <c r="B282" t="s">
        <v>119</v>
      </c>
      <c r="C282" t="s">
        <v>120</v>
      </c>
      <c r="D282">
        <v>1</v>
      </c>
      <c r="E282" t="s">
        <v>39</v>
      </c>
      <c r="F282" t="s">
        <v>40</v>
      </c>
      <c r="G282">
        <v>95</v>
      </c>
      <c r="H282">
        <v>0</v>
      </c>
      <c r="I282">
        <v>95</v>
      </c>
      <c r="J282">
        <f t="shared" si="12"/>
        <v>0</v>
      </c>
      <c r="K282" t="s">
        <v>20</v>
      </c>
      <c r="L282">
        <f t="shared" si="13"/>
        <v>1</v>
      </c>
      <c r="M282">
        <v>10</v>
      </c>
      <c r="N282">
        <v>1</v>
      </c>
      <c r="O282">
        <f t="shared" si="14"/>
        <v>0</v>
      </c>
    </row>
    <row r="283" spans="1:15" x14ac:dyDescent="0.3">
      <c r="A283" t="s">
        <v>15</v>
      </c>
      <c r="B283" t="s">
        <v>119</v>
      </c>
      <c r="C283" t="s">
        <v>120</v>
      </c>
      <c r="D283">
        <v>1</v>
      </c>
      <c r="E283" t="s">
        <v>41</v>
      </c>
      <c r="F283" t="s">
        <v>42</v>
      </c>
      <c r="G283">
        <v>23</v>
      </c>
      <c r="H283">
        <v>35</v>
      </c>
      <c r="I283">
        <v>58</v>
      </c>
      <c r="J283">
        <f t="shared" si="12"/>
        <v>-12</v>
      </c>
      <c r="K283" t="s">
        <v>20</v>
      </c>
      <c r="L283">
        <f t="shared" si="13"/>
        <v>1</v>
      </c>
      <c r="M283">
        <v>8</v>
      </c>
      <c r="N283">
        <v>3</v>
      </c>
      <c r="O283">
        <f t="shared" si="14"/>
        <v>1</v>
      </c>
    </row>
    <row r="284" spans="1:15" x14ac:dyDescent="0.3">
      <c r="A284" t="s">
        <v>15</v>
      </c>
      <c r="B284" t="s">
        <v>119</v>
      </c>
      <c r="C284" t="s">
        <v>120</v>
      </c>
      <c r="D284">
        <v>1</v>
      </c>
      <c r="E284" t="s">
        <v>43</v>
      </c>
      <c r="F284" t="s">
        <v>44</v>
      </c>
      <c r="G284">
        <v>66</v>
      </c>
      <c r="H284">
        <v>0</v>
      </c>
      <c r="I284">
        <v>66</v>
      </c>
      <c r="J284">
        <f t="shared" si="12"/>
        <v>0</v>
      </c>
      <c r="K284" t="s">
        <v>20</v>
      </c>
      <c r="L284">
        <f t="shared" si="13"/>
        <v>1</v>
      </c>
      <c r="M284">
        <v>7</v>
      </c>
      <c r="N284">
        <v>1</v>
      </c>
      <c r="O284">
        <f t="shared" si="14"/>
        <v>0</v>
      </c>
    </row>
    <row r="285" spans="1:15" x14ac:dyDescent="0.3">
      <c r="A285" t="s">
        <v>15</v>
      </c>
      <c r="B285" t="s">
        <v>119</v>
      </c>
      <c r="C285" t="s">
        <v>120</v>
      </c>
      <c r="D285">
        <v>1</v>
      </c>
      <c r="E285" t="s">
        <v>45</v>
      </c>
      <c r="F285" t="s">
        <v>46</v>
      </c>
      <c r="G285">
        <v>30</v>
      </c>
      <c r="H285">
        <v>34</v>
      </c>
      <c r="I285">
        <v>64</v>
      </c>
      <c r="J285">
        <f t="shared" si="12"/>
        <v>-4</v>
      </c>
      <c r="K285" t="s">
        <v>20</v>
      </c>
      <c r="L285">
        <f t="shared" si="13"/>
        <v>1</v>
      </c>
      <c r="M285">
        <v>7</v>
      </c>
      <c r="N285">
        <v>1</v>
      </c>
      <c r="O285">
        <f t="shared" si="14"/>
        <v>1</v>
      </c>
    </row>
    <row r="286" spans="1:15" x14ac:dyDescent="0.3">
      <c r="A286" t="s">
        <v>15</v>
      </c>
      <c r="B286" t="s">
        <v>119</v>
      </c>
      <c r="C286" t="s">
        <v>120</v>
      </c>
      <c r="D286">
        <v>1</v>
      </c>
      <c r="E286" t="s">
        <v>71</v>
      </c>
      <c r="F286" t="s">
        <v>72</v>
      </c>
      <c r="G286">
        <v>82</v>
      </c>
      <c r="H286">
        <v>0</v>
      </c>
      <c r="I286">
        <v>82</v>
      </c>
      <c r="J286">
        <f t="shared" si="12"/>
        <v>0</v>
      </c>
      <c r="K286" t="s">
        <v>20</v>
      </c>
      <c r="L286">
        <f t="shared" si="13"/>
        <v>1</v>
      </c>
      <c r="M286">
        <v>9</v>
      </c>
      <c r="N286">
        <v>1</v>
      </c>
      <c r="O286">
        <f t="shared" si="14"/>
        <v>0</v>
      </c>
    </row>
    <row r="287" spans="1:15" x14ac:dyDescent="0.3">
      <c r="A287" t="s">
        <v>15</v>
      </c>
      <c r="B287" t="s">
        <v>119</v>
      </c>
      <c r="C287" t="s">
        <v>120</v>
      </c>
      <c r="D287">
        <v>1</v>
      </c>
      <c r="E287" t="s">
        <v>49</v>
      </c>
      <c r="F287" t="s">
        <v>50</v>
      </c>
      <c r="G287">
        <v>90</v>
      </c>
      <c r="H287">
        <v>0</v>
      </c>
      <c r="I287">
        <v>90</v>
      </c>
      <c r="J287">
        <f t="shared" si="12"/>
        <v>0</v>
      </c>
      <c r="K287" t="s">
        <v>20</v>
      </c>
      <c r="L287">
        <f t="shared" si="13"/>
        <v>1</v>
      </c>
      <c r="M287">
        <v>9</v>
      </c>
      <c r="N287">
        <v>1</v>
      </c>
      <c r="O287">
        <f t="shared" si="14"/>
        <v>0</v>
      </c>
    </row>
    <row r="288" spans="1:15" x14ac:dyDescent="0.3">
      <c r="A288" t="s">
        <v>15</v>
      </c>
      <c r="B288" t="s">
        <v>119</v>
      </c>
      <c r="C288" t="s">
        <v>120</v>
      </c>
      <c r="D288">
        <v>1</v>
      </c>
      <c r="E288" t="s">
        <v>51</v>
      </c>
      <c r="F288" t="s">
        <v>52</v>
      </c>
      <c r="G288">
        <v>90</v>
      </c>
      <c r="H288">
        <v>0</v>
      </c>
      <c r="I288">
        <v>90</v>
      </c>
      <c r="J288">
        <f t="shared" si="12"/>
        <v>0</v>
      </c>
      <c r="K288" t="s">
        <v>20</v>
      </c>
      <c r="L288">
        <f t="shared" si="13"/>
        <v>1</v>
      </c>
      <c r="M288">
        <v>9</v>
      </c>
      <c r="N288">
        <v>1</v>
      </c>
      <c r="O288">
        <f t="shared" si="14"/>
        <v>0</v>
      </c>
    </row>
    <row r="289" spans="1:15" x14ac:dyDescent="0.3">
      <c r="A289" t="s">
        <v>15</v>
      </c>
      <c r="B289" t="s">
        <v>119</v>
      </c>
      <c r="C289" t="s">
        <v>120</v>
      </c>
      <c r="D289">
        <v>1</v>
      </c>
      <c r="E289" t="s">
        <v>53</v>
      </c>
      <c r="F289" t="s">
        <v>54</v>
      </c>
      <c r="G289">
        <v>42</v>
      </c>
      <c r="H289">
        <v>39</v>
      </c>
      <c r="I289">
        <v>81</v>
      </c>
      <c r="J289">
        <f t="shared" si="12"/>
        <v>3</v>
      </c>
      <c r="K289" t="s">
        <v>20</v>
      </c>
      <c r="L289">
        <f t="shared" si="13"/>
        <v>1</v>
      </c>
      <c r="M289">
        <v>8</v>
      </c>
      <c r="N289">
        <v>4</v>
      </c>
      <c r="O289">
        <f t="shared" si="14"/>
        <v>1</v>
      </c>
    </row>
    <row r="290" spans="1:15" x14ac:dyDescent="0.3">
      <c r="A290" t="s">
        <v>15</v>
      </c>
      <c r="B290" t="s">
        <v>119</v>
      </c>
      <c r="C290" t="s">
        <v>120</v>
      </c>
      <c r="D290">
        <v>1</v>
      </c>
      <c r="E290" t="s">
        <v>55</v>
      </c>
      <c r="F290" t="s">
        <v>56</v>
      </c>
      <c r="G290">
        <v>39</v>
      </c>
      <c r="H290">
        <v>37</v>
      </c>
      <c r="I290">
        <v>76</v>
      </c>
      <c r="J290">
        <f t="shared" si="12"/>
        <v>2</v>
      </c>
      <c r="K290" t="s">
        <v>20</v>
      </c>
      <c r="L290">
        <f t="shared" si="13"/>
        <v>1</v>
      </c>
      <c r="M290">
        <v>8</v>
      </c>
      <c r="N290">
        <v>3</v>
      </c>
      <c r="O290">
        <f t="shared" si="14"/>
        <v>1</v>
      </c>
    </row>
    <row r="291" spans="1:15" x14ac:dyDescent="0.3">
      <c r="A291" t="s">
        <v>15</v>
      </c>
      <c r="B291" t="s">
        <v>119</v>
      </c>
      <c r="C291" t="s">
        <v>120</v>
      </c>
      <c r="D291">
        <v>1</v>
      </c>
      <c r="E291" t="s">
        <v>57</v>
      </c>
      <c r="F291" t="s">
        <v>58</v>
      </c>
      <c r="G291">
        <v>38</v>
      </c>
      <c r="H291">
        <v>25</v>
      </c>
      <c r="I291">
        <v>63</v>
      </c>
      <c r="J291">
        <f t="shared" si="12"/>
        <v>13</v>
      </c>
      <c r="K291" t="s">
        <v>20</v>
      </c>
      <c r="L291">
        <f t="shared" si="13"/>
        <v>1</v>
      </c>
      <c r="M291">
        <v>7</v>
      </c>
      <c r="N291">
        <v>4</v>
      </c>
      <c r="O291">
        <f t="shared" si="14"/>
        <v>1</v>
      </c>
    </row>
    <row r="292" spans="1:15" x14ac:dyDescent="0.3">
      <c r="A292" t="s">
        <v>15</v>
      </c>
      <c r="B292" t="s">
        <v>121</v>
      </c>
      <c r="C292" t="s">
        <v>122</v>
      </c>
      <c r="D292">
        <v>2</v>
      </c>
      <c r="E292" t="s">
        <v>18</v>
      </c>
      <c r="F292" t="s">
        <v>19</v>
      </c>
      <c r="G292">
        <v>44</v>
      </c>
      <c r="H292">
        <v>29</v>
      </c>
      <c r="I292">
        <v>73</v>
      </c>
      <c r="J292">
        <f t="shared" si="12"/>
        <v>15</v>
      </c>
      <c r="K292" t="s">
        <v>20</v>
      </c>
      <c r="L292">
        <f t="shared" si="13"/>
        <v>1</v>
      </c>
      <c r="M292">
        <v>8</v>
      </c>
      <c r="N292">
        <v>4</v>
      </c>
      <c r="O292">
        <f t="shared" si="14"/>
        <v>1</v>
      </c>
    </row>
    <row r="293" spans="1:15" x14ac:dyDescent="0.3">
      <c r="A293" t="s">
        <v>15</v>
      </c>
      <c r="B293" t="s">
        <v>121</v>
      </c>
      <c r="C293" t="s">
        <v>122</v>
      </c>
      <c r="D293">
        <v>2</v>
      </c>
      <c r="E293" t="s">
        <v>21</v>
      </c>
      <c r="F293" t="s">
        <v>22</v>
      </c>
      <c r="G293">
        <v>43</v>
      </c>
      <c r="H293">
        <v>34</v>
      </c>
      <c r="I293">
        <v>77</v>
      </c>
      <c r="J293">
        <f t="shared" si="12"/>
        <v>9</v>
      </c>
      <c r="K293" t="s">
        <v>20</v>
      </c>
      <c r="L293">
        <f t="shared" si="13"/>
        <v>1</v>
      </c>
      <c r="M293">
        <v>8</v>
      </c>
      <c r="N293">
        <v>4</v>
      </c>
      <c r="O293">
        <f t="shared" si="14"/>
        <v>1</v>
      </c>
    </row>
    <row r="294" spans="1:15" x14ac:dyDescent="0.3">
      <c r="A294" t="s">
        <v>15</v>
      </c>
      <c r="B294" t="s">
        <v>121</v>
      </c>
      <c r="C294" t="s">
        <v>122</v>
      </c>
      <c r="D294">
        <v>2</v>
      </c>
      <c r="E294" t="s">
        <v>23</v>
      </c>
      <c r="F294" t="s">
        <v>24</v>
      </c>
      <c r="G294">
        <v>87</v>
      </c>
      <c r="H294">
        <v>0</v>
      </c>
      <c r="I294">
        <v>87</v>
      </c>
      <c r="J294">
        <f t="shared" si="12"/>
        <v>0</v>
      </c>
      <c r="K294" t="s">
        <v>20</v>
      </c>
      <c r="L294">
        <f t="shared" si="13"/>
        <v>1</v>
      </c>
      <c r="M294">
        <v>9</v>
      </c>
      <c r="N294">
        <v>1</v>
      </c>
      <c r="O294">
        <f t="shared" si="14"/>
        <v>0</v>
      </c>
    </row>
    <row r="295" spans="1:15" x14ac:dyDescent="0.3">
      <c r="A295" t="s">
        <v>15</v>
      </c>
      <c r="B295" t="s">
        <v>121</v>
      </c>
      <c r="C295" t="s">
        <v>122</v>
      </c>
      <c r="D295">
        <v>2</v>
      </c>
      <c r="E295" t="s">
        <v>25</v>
      </c>
      <c r="F295" t="s">
        <v>26</v>
      </c>
      <c r="G295">
        <v>39</v>
      </c>
      <c r="H295">
        <v>35</v>
      </c>
      <c r="I295">
        <v>74</v>
      </c>
      <c r="J295">
        <f t="shared" si="12"/>
        <v>4</v>
      </c>
      <c r="K295" t="s">
        <v>20</v>
      </c>
      <c r="L295">
        <f t="shared" si="13"/>
        <v>1</v>
      </c>
      <c r="M295">
        <v>7</v>
      </c>
      <c r="N295">
        <v>1</v>
      </c>
      <c r="O295">
        <f t="shared" si="14"/>
        <v>1</v>
      </c>
    </row>
    <row r="296" spans="1:15" x14ac:dyDescent="0.3">
      <c r="A296" t="s">
        <v>15</v>
      </c>
      <c r="B296" t="s">
        <v>121</v>
      </c>
      <c r="C296" t="s">
        <v>122</v>
      </c>
      <c r="D296">
        <v>2</v>
      </c>
      <c r="E296" t="s">
        <v>61</v>
      </c>
      <c r="F296" t="s">
        <v>62</v>
      </c>
      <c r="G296">
        <v>33</v>
      </c>
      <c r="H296">
        <v>44</v>
      </c>
      <c r="I296">
        <v>77</v>
      </c>
      <c r="J296">
        <f t="shared" si="12"/>
        <v>-11</v>
      </c>
      <c r="K296" t="s">
        <v>20</v>
      </c>
      <c r="L296">
        <f t="shared" si="13"/>
        <v>1</v>
      </c>
      <c r="M296">
        <v>8</v>
      </c>
      <c r="N296">
        <v>2</v>
      </c>
      <c r="O296">
        <f t="shared" si="14"/>
        <v>1</v>
      </c>
    </row>
    <row r="297" spans="1:15" x14ac:dyDescent="0.3">
      <c r="A297" t="s">
        <v>15</v>
      </c>
      <c r="B297" t="s">
        <v>121</v>
      </c>
      <c r="C297" t="s">
        <v>122</v>
      </c>
      <c r="D297">
        <v>2</v>
      </c>
      <c r="E297" t="s">
        <v>123</v>
      </c>
      <c r="F297" t="s">
        <v>124</v>
      </c>
      <c r="G297">
        <v>93</v>
      </c>
      <c r="H297">
        <v>0</v>
      </c>
      <c r="I297">
        <v>93</v>
      </c>
      <c r="J297">
        <f t="shared" si="12"/>
        <v>0</v>
      </c>
      <c r="K297" t="s">
        <v>20</v>
      </c>
      <c r="L297">
        <f t="shared" si="13"/>
        <v>1</v>
      </c>
      <c r="M297">
        <v>10</v>
      </c>
      <c r="N297">
        <v>1</v>
      </c>
      <c r="O297">
        <f t="shared" si="14"/>
        <v>0</v>
      </c>
    </row>
    <row r="298" spans="1:15" x14ac:dyDescent="0.3">
      <c r="A298" t="s">
        <v>15</v>
      </c>
      <c r="B298" t="s">
        <v>121</v>
      </c>
      <c r="C298" t="s">
        <v>122</v>
      </c>
      <c r="D298">
        <v>2</v>
      </c>
      <c r="E298" t="s">
        <v>31</v>
      </c>
      <c r="F298" t="s">
        <v>32</v>
      </c>
      <c r="G298">
        <v>96</v>
      </c>
      <c r="H298">
        <v>0</v>
      </c>
      <c r="I298">
        <v>96</v>
      </c>
      <c r="J298">
        <f t="shared" si="12"/>
        <v>0</v>
      </c>
      <c r="K298" t="s">
        <v>20</v>
      </c>
      <c r="L298">
        <f t="shared" si="13"/>
        <v>1</v>
      </c>
      <c r="M298">
        <v>10</v>
      </c>
      <c r="N298">
        <v>1</v>
      </c>
      <c r="O298">
        <f t="shared" si="14"/>
        <v>0</v>
      </c>
    </row>
    <row r="299" spans="1:15" x14ac:dyDescent="0.3">
      <c r="A299" t="s">
        <v>15</v>
      </c>
      <c r="B299" t="s">
        <v>121</v>
      </c>
      <c r="C299" t="s">
        <v>122</v>
      </c>
      <c r="D299">
        <v>2</v>
      </c>
      <c r="E299" t="s">
        <v>33</v>
      </c>
      <c r="F299" t="s">
        <v>34</v>
      </c>
      <c r="G299">
        <v>43</v>
      </c>
      <c r="H299">
        <v>36</v>
      </c>
      <c r="I299">
        <v>79</v>
      </c>
      <c r="J299">
        <f t="shared" si="12"/>
        <v>7</v>
      </c>
      <c r="K299" t="s">
        <v>20</v>
      </c>
      <c r="L299">
        <f t="shared" si="13"/>
        <v>1</v>
      </c>
      <c r="M299">
        <v>8</v>
      </c>
      <c r="N299">
        <v>4</v>
      </c>
      <c r="O299">
        <f t="shared" si="14"/>
        <v>1</v>
      </c>
    </row>
    <row r="300" spans="1:15" x14ac:dyDescent="0.3">
      <c r="A300" t="s">
        <v>15</v>
      </c>
      <c r="B300" t="s">
        <v>121</v>
      </c>
      <c r="C300" t="s">
        <v>122</v>
      </c>
      <c r="D300">
        <v>2</v>
      </c>
      <c r="E300" t="s">
        <v>35</v>
      </c>
      <c r="F300" t="s">
        <v>36</v>
      </c>
      <c r="G300">
        <v>32</v>
      </c>
      <c r="H300">
        <v>46</v>
      </c>
      <c r="I300">
        <v>78</v>
      </c>
      <c r="J300">
        <f t="shared" si="12"/>
        <v>-14</v>
      </c>
      <c r="K300" t="s">
        <v>20</v>
      </c>
      <c r="L300">
        <f t="shared" si="13"/>
        <v>1</v>
      </c>
      <c r="M300">
        <v>8</v>
      </c>
      <c r="N300">
        <v>3</v>
      </c>
      <c r="O300">
        <f t="shared" si="14"/>
        <v>1</v>
      </c>
    </row>
    <row r="301" spans="1:15" x14ac:dyDescent="0.3">
      <c r="A301" t="s">
        <v>15</v>
      </c>
      <c r="B301" t="s">
        <v>121</v>
      </c>
      <c r="C301" t="s">
        <v>122</v>
      </c>
      <c r="D301">
        <v>2</v>
      </c>
      <c r="E301" t="s">
        <v>37</v>
      </c>
      <c r="F301" t="s">
        <v>38</v>
      </c>
      <c r="G301">
        <v>34</v>
      </c>
      <c r="H301">
        <v>44</v>
      </c>
      <c r="I301">
        <v>78</v>
      </c>
      <c r="J301">
        <f t="shared" si="12"/>
        <v>-10</v>
      </c>
      <c r="K301" t="s">
        <v>20</v>
      </c>
      <c r="L301">
        <f t="shared" si="13"/>
        <v>1</v>
      </c>
      <c r="M301">
        <v>8</v>
      </c>
      <c r="N301">
        <v>3</v>
      </c>
      <c r="O301">
        <f t="shared" si="14"/>
        <v>1</v>
      </c>
    </row>
    <row r="302" spans="1:15" x14ac:dyDescent="0.3">
      <c r="A302" t="s">
        <v>15</v>
      </c>
      <c r="B302" t="s">
        <v>121</v>
      </c>
      <c r="C302" t="s">
        <v>122</v>
      </c>
      <c r="D302">
        <v>1</v>
      </c>
      <c r="E302" t="s">
        <v>39</v>
      </c>
      <c r="F302" t="s">
        <v>40</v>
      </c>
      <c r="G302">
        <v>89</v>
      </c>
      <c r="H302">
        <v>0</v>
      </c>
      <c r="I302">
        <v>89</v>
      </c>
      <c r="J302">
        <f t="shared" si="12"/>
        <v>0</v>
      </c>
      <c r="K302" t="s">
        <v>20</v>
      </c>
      <c r="L302">
        <f t="shared" si="13"/>
        <v>1</v>
      </c>
      <c r="M302">
        <v>9</v>
      </c>
      <c r="N302">
        <v>1</v>
      </c>
      <c r="O302">
        <f t="shared" si="14"/>
        <v>0</v>
      </c>
    </row>
    <row r="303" spans="1:15" x14ac:dyDescent="0.3">
      <c r="A303" t="s">
        <v>15</v>
      </c>
      <c r="B303" t="s">
        <v>121</v>
      </c>
      <c r="C303" t="s">
        <v>122</v>
      </c>
      <c r="D303">
        <v>1</v>
      </c>
      <c r="E303" t="s">
        <v>41</v>
      </c>
      <c r="F303" t="s">
        <v>42</v>
      </c>
      <c r="G303">
        <v>30</v>
      </c>
      <c r="H303">
        <v>30</v>
      </c>
      <c r="I303">
        <v>60</v>
      </c>
      <c r="J303">
        <f t="shared" si="12"/>
        <v>0</v>
      </c>
      <c r="K303" t="s">
        <v>20</v>
      </c>
      <c r="L303">
        <f t="shared" si="13"/>
        <v>1</v>
      </c>
      <c r="M303">
        <v>8</v>
      </c>
      <c r="N303">
        <v>3</v>
      </c>
      <c r="O303">
        <f t="shared" si="14"/>
        <v>1</v>
      </c>
    </row>
    <row r="304" spans="1:15" x14ac:dyDescent="0.3">
      <c r="A304" t="s">
        <v>15</v>
      </c>
      <c r="B304" t="s">
        <v>121</v>
      </c>
      <c r="C304" t="s">
        <v>122</v>
      </c>
      <c r="D304">
        <v>1</v>
      </c>
      <c r="E304" t="s">
        <v>43</v>
      </c>
      <c r="F304" t="s">
        <v>44</v>
      </c>
      <c r="G304">
        <v>62</v>
      </c>
      <c r="H304">
        <v>0</v>
      </c>
      <c r="I304">
        <v>62</v>
      </c>
      <c r="J304">
        <f t="shared" si="12"/>
        <v>0</v>
      </c>
      <c r="K304" t="s">
        <v>20</v>
      </c>
      <c r="L304">
        <f t="shared" si="13"/>
        <v>1</v>
      </c>
      <c r="M304">
        <v>7</v>
      </c>
      <c r="N304">
        <v>1</v>
      </c>
      <c r="O304">
        <f t="shared" si="14"/>
        <v>0</v>
      </c>
    </row>
    <row r="305" spans="1:15" x14ac:dyDescent="0.3">
      <c r="A305" t="s">
        <v>15</v>
      </c>
      <c r="B305" t="s">
        <v>121</v>
      </c>
      <c r="C305" t="s">
        <v>122</v>
      </c>
      <c r="D305">
        <v>1</v>
      </c>
      <c r="E305" t="s">
        <v>45</v>
      </c>
      <c r="F305" t="s">
        <v>46</v>
      </c>
      <c r="G305">
        <v>28</v>
      </c>
      <c r="H305">
        <v>39</v>
      </c>
      <c r="I305">
        <v>67</v>
      </c>
      <c r="J305">
        <f t="shared" si="12"/>
        <v>-11</v>
      </c>
      <c r="K305" t="s">
        <v>20</v>
      </c>
      <c r="L305">
        <f t="shared" si="13"/>
        <v>1</v>
      </c>
      <c r="M305">
        <v>7</v>
      </c>
      <c r="N305">
        <v>1</v>
      </c>
      <c r="O305">
        <f t="shared" si="14"/>
        <v>1</v>
      </c>
    </row>
    <row r="306" spans="1:15" x14ac:dyDescent="0.3">
      <c r="A306" t="s">
        <v>15</v>
      </c>
      <c r="B306" t="s">
        <v>121</v>
      </c>
      <c r="C306" t="s">
        <v>122</v>
      </c>
      <c r="D306">
        <v>1</v>
      </c>
      <c r="E306" t="s">
        <v>125</v>
      </c>
      <c r="F306" t="s">
        <v>126</v>
      </c>
      <c r="G306">
        <v>95</v>
      </c>
      <c r="H306">
        <v>0</v>
      </c>
      <c r="I306">
        <v>95</v>
      </c>
      <c r="J306">
        <f t="shared" si="12"/>
        <v>0</v>
      </c>
      <c r="K306" t="s">
        <v>20</v>
      </c>
      <c r="L306">
        <f t="shared" si="13"/>
        <v>1</v>
      </c>
      <c r="M306">
        <v>10</v>
      </c>
      <c r="N306">
        <v>1</v>
      </c>
      <c r="O306">
        <f t="shared" si="14"/>
        <v>0</v>
      </c>
    </row>
    <row r="307" spans="1:15" x14ac:dyDescent="0.3">
      <c r="A307" t="s">
        <v>15</v>
      </c>
      <c r="B307" t="s">
        <v>121</v>
      </c>
      <c r="C307" t="s">
        <v>122</v>
      </c>
      <c r="D307">
        <v>1</v>
      </c>
      <c r="E307" t="s">
        <v>49</v>
      </c>
      <c r="F307" t="s">
        <v>50</v>
      </c>
      <c r="G307">
        <v>95</v>
      </c>
      <c r="H307">
        <v>0</v>
      </c>
      <c r="I307">
        <v>95</v>
      </c>
      <c r="J307">
        <f t="shared" si="12"/>
        <v>0</v>
      </c>
      <c r="K307" t="s">
        <v>20</v>
      </c>
      <c r="L307">
        <f t="shared" si="13"/>
        <v>1</v>
      </c>
      <c r="M307">
        <v>10</v>
      </c>
      <c r="N307">
        <v>1</v>
      </c>
      <c r="O307">
        <f t="shared" si="14"/>
        <v>0</v>
      </c>
    </row>
    <row r="308" spans="1:15" x14ac:dyDescent="0.3">
      <c r="A308" t="s">
        <v>15</v>
      </c>
      <c r="B308" t="s">
        <v>121</v>
      </c>
      <c r="C308" t="s">
        <v>122</v>
      </c>
      <c r="D308">
        <v>1</v>
      </c>
      <c r="E308" t="s">
        <v>51</v>
      </c>
      <c r="F308" t="s">
        <v>52</v>
      </c>
      <c r="G308">
        <v>91</v>
      </c>
      <c r="H308">
        <v>0</v>
      </c>
      <c r="I308">
        <v>91</v>
      </c>
      <c r="J308">
        <f t="shared" si="12"/>
        <v>0</v>
      </c>
      <c r="K308" t="s">
        <v>20</v>
      </c>
      <c r="L308">
        <f t="shared" si="13"/>
        <v>1</v>
      </c>
      <c r="M308">
        <v>10</v>
      </c>
      <c r="N308">
        <v>1</v>
      </c>
      <c r="O308">
        <f t="shared" si="14"/>
        <v>0</v>
      </c>
    </row>
    <row r="309" spans="1:15" x14ac:dyDescent="0.3">
      <c r="A309" t="s">
        <v>15</v>
      </c>
      <c r="B309" t="s">
        <v>121</v>
      </c>
      <c r="C309" t="s">
        <v>122</v>
      </c>
      <c r="D309">
        <v>1</v>
      </c>
      <c r="E309" t="s">
        <v>53</v>
      </c>
      <c r="F309" t="s">
        <v>54</v>
      </c>
      <c r="G309">
        <v>43</v>
      </c>
      <c r="H309">
        <v>47</v>
      </c>
      <c r="I309">
        <v>90</v>
      </c>
      <c r="J309">
        <f t="shared" si="12"/>
        <v>-4</v>
      </c>
      <c r="K309" t="s">
        <v>20</v>
      </c>
      <c r="L309">
        <f t="shared" si="13"/>
        <v>1</v>
      </c>
      <c r="M309">
        <v>9</v>
      </c>
      <c r="N309">
        <v>4</v>
      </c>
      <c r="O309">
        <f t="shared" si="14"/>
        <v>1</v>
      </c>
    </row>
    <row r="310" spans="1:15" x14ac:dyDescent="0.3">
      <c r="A310" t="s">
        <v>15</v>
      </c>
      <c r="B310" t="s">
        <v>121</v>
      </c>
      <c r="C310" t="s">
        <v>122</v>
      </c>
      <c r="D310">
        <v>1</v>
      </c>
      <c r="E310" t="s">
        <v>55</v>
      </c>
      <c r="F310" t="s">
        <v>56</v>
      </c>
      <c r="G310">
        <v>41</v>
      </c>
      <c r="H310">
        <v>43</v>
      </c>
      <c r="I310">
        <v>84</v>
      </c>
      <c r="J310">
        <f t="shared" si="12"/>
        <v>-2</v>
      </c>
      <c r="K310" t="s">
        <v>20</v>
      </c>
      <c r="L310">
        <f t="shared" si="13"/>
        <v>1</v>
      </c>
      <c r="M310">
        <v>8</v>
      </c>
      <c r="N310">
        <v>3</v>
      </c>
      <c r="O310">
        <f t="shared" si="14"/>
        <v>1</v>
      </c>
    </row>
    <row r="311" spans="1:15" x14ac:dyDescent="0.3">
      <c r="A311" t="s">
        <v>15</v>
      </c>
      <c r="B311" t="s">
        <v>121</v>
      </c>
      <c r="C311" t="s">
        <v>122</v>
      </c>
      <c r="D311">
        <v>1</v>
      </c>
      <c r="E311" t="s">
        <v>57</v>
      </c>
      <c r="F311" t="s">
        <v>58</v>
      </c>
      <c r="G311">
        <v>42</v>
      </c>
      <c r="H311">
        <v>42</v>
      </c>
      <c r="I311">
        <v>84</v>
      </c>
      <c r="J311">
        <f t="shared" si="12"/>
        <v>0</v>
      </c>
      <c r="K311" t="s">
        <v>20</v>
      </c>
      <c r="L311">
        <f t="shared" si="13"/>
        <v>1</v>
      </c>
      <c r="M311">
        <v>9</v>
      </c>
      <c r="N311">
        <v>4</v>
      </c>
      <c r="O311">
        <f t="shared" si="14"/>
        <v>1</v>
      </c>
    </row>
    <row r="312" spans="1:15" x14ac:dyDescent="0.3">
      <c r="A312" t="s">
        <v>15</v>
      </c>
      <c r="B312" t="s">
        <v>127</v>
      </c>
      <c r="C312" t="s">
        <v>128</v>
      </c>
      <c r="D312">
        <v>2</v>
      </c>
      <c r="E312" t="s">
        <v>18</v>
      </c>
      <c r="F312" t="s">
        <v>19</v>
      </c>
      <c r="G312">
        <v>46</v>
      </c>
      <c r="H312">
        <v>31</v>
      </c>
      <c r="I312">
        <v>77</v>
      </c>
      <c r="J312">
        <f t="shared" si="12"/>
        <v>15</v>
      </c>
      <c r="K312" t="s">
        <v>20</v>
      </c>
      <c r="L312">
        <f t="shared" si="13"/>
        <v>1</v>
      </c>
      <c r="M312">
        <v>8</v>
      </c>
      <c r="N312">
        <v>4</v>
      </c>
      <c r="O312">
        <f t="shared" si="14"/>
        <v>1</v>
      </c>
    </row>
    <row r="313" spans="1:15" x14ac:dyDescent="0.3">
      <c r="A313" t="s">
        <v>15</v>
      </c>
      <c r="B313" t="s">
        <v>127</v>
      </c>
      <c r="C313" t="s">
        <v>128</v>
      </c>
      <c r="D313">
        <v>2</v>
      </c>
      <c r="E313" t="s">
        <v>21</v>
      </c>
      <c r="F313" t="s">
        <v>22</v>
      </c>
      <c r="G313">
        <v>43</v>
      </c>
      <c r="H313">
        <v>30</v>
      </c>
      <c r="I313">
        <v>73</v>
      </c>
      <c r="J313">
        <f t="shared" si="12"/>
        <v>13</v>
      </c>
      <c r="K313" t="s">
        <v>20</v>
      </c>
      <c r="L313">
        <f t="shared" si="13"/>
        <v>1</v>
      </c>
      <c r="M313">
        <v>7</v>
      </c>
      <c r="N313">
        <v>4</v>
      </c>
      <c r="O313">
        <f t="shared" si="14"/>
        <v>1</v>
      </c>
    </row>
    <row r="314" spans="1:15" x14ac:dyDescent="0.3">
      <c r="A314" t="s">
        <v>15</v>
      </c>
      <c r="B314" t="s">
        <v>127</v>
      </c>
      <c r="C314" t="s">
        <v>128</v>
      </c>
      <c r="D314">
        <v>2</v>
      </c>
      <c r="E314" t="s">
        <v>25</v>
      </c>
      <c r="F314" t="s">
        <v>26</v>
      </c>
      <c r="G314">
        <v>37</v>
      </c>
      <c r="H314">
        <v>31</v>
      </c>
      <c r="I314">
        <v>68</v>
      </c>
      <c r="J314">
        <f t="shared" si="12"/>
        <v>6</v>
      </c>
      <c r="K314" t="s">
        <v>20</v>
      </c>
      <c r="L314">
        <f t="shared" si="13"/>
        <v>1</v>
      </c>
      <c r="M314">
        <v>7</v>
      </c>
      <c r="N314">
        <v>1</v>
      </c>
      <c r="O314">
        <f t="shared" si="14"/>
        <v>1</v>
      </c>
    </row>
    <row r="315" spans="1:15" x14ac:dyDescent="0.3">
      <c r="A315" t="s">
        <v>15</v>
      </c>
      <c r="B315" t="s">
        <v>127</v>
      </c>
      <c r="C315" t="s">
        <v>128</v>
      </c>
      <c r="D315">
        <v>2</v>
      </c>
      <c r="E315" t="s">
        <v>61</v>
      </c>
      <c r="F315" t="s">
        <v>62</v>
      </c>
      <c r="G315">
        <v>32</v>
      </c>
      <c r="H315">
        <v>44</v>
      </c>
      <c r="I315">
        <v>76</v>
      </c>
      <c r="J315">
        <f t="shared" si="12"/>
        <v>-12</v>
      </c>
      <c r="K315" t="s">
        <v>20</v>
      </c>
      <c r="L315">
        <f t="shared" si="13"/>
        <v>1</v>
      </c>
      <c r="M315">
        <v>8</v>
      </c>
      <c r="N315">
        <v>2</v>
      </c>
      <c r="O315">
        <f t="shared" si="14"/>
        <v>1</v>
      </c>
    </row>
    <row r="316" spans="1:15" x14ac:dyDescent="0.3">
      <c r="A316" t="s">
        <v>15</v>
      </c>
      <c r="B316" t="s">
        <v>127</v>
      </c>
      <c r="C316" t="s">
        <v>128</v>
      </c>
      <c r="D316">
        <v>2</v>
      </c>
      <c r="E316" t="s">
        <v>81</v>
      </c>
      <c r="F316" t="s">
        <v>82</v>
      </c>
      <c r="G316">
        <v>51</v>
      </c>
      <c r="H316">
        <v>34</v>
      </c>
      <c r="I316">
        <v>85</v>
      </c>
      <c r="J316">
        <f t="shared" si="12"/>
        <v>17</v>
      </c>
      <c r="K316" t="s">
        <v>20</v>
      </c>
      <c r="L316">
        <f t="shared" si="13"/>
        <v>1</v>
      </c>
      <c r="M316">
        <v>9</v>
      </c>
      <c r="N316">
        <v>3</v>
      </c>
      <c r="O316">
        <f t="shared" si="14"/>
        <v>1</v>
      </c>
    </row>
    <row r="317" spans="1:15" x14ac:dyDescent="0.3">
      <c r="A317" t="s">
        <v>15</v>
      </c>
      <c r="B317" t="s">
        <v>127</v>
      </c>
      <c r="C317" t="s">
        <v>128</v>
      </c>
      <c r="D317">
        <v>2</v>
      </c>
      <c r="E317" t="s">
        <v>33</v>
      </c>
      <c r="F317" t="s">
        <v>34</v>
      </c>
      <c r="G317">
        <v>46</v>
      </c>
      <c r="H317">
        <v>41</v>
      </c>
      <c r="I317">
        <v>87</v>
      </c>
      <c r="J317">
        <f t="shared" si="12"/>
        <v>5</v>
      </c>
      <c r="K317" t="s">
        <v>20</v>
      </c>
      <c r="L317">
        <f t="shared" si="13"/>
        <v>1</v>
      </c>
      <c r="M317">
        <v>9</v>
      </c>
      <c r="N317">
        <v>4</v>
      </c>
      <c r="O317">
        <f t="shared" si="14"/>
        <v>1</v>
      </c>
    </row>
    <row r="318" spans="1:15" x14ac:dyDescent="0.3">
      <c r="A318" t="s">
        <v>15</v>
      </c>
      <c r="B318" t="s">
        <v>127</v>
      </c>
      <c r="C318" t="s">
        <v>128</v>
      </c>
      <c r="D318">
        <v>2</v>
      </c>
      <c r="E318" t="s">
        <v>35</v>
      </c>
      <c r="F318" t="s">
        <v>36</v>
      </c>
      <c r="G318">
        <v>33</v>
      </c>
      <c r="H318">
        <v>46</v>
      </c>
      <c r="I318">
        <v>79</v>
      </c>
      <c r="J318">
        <f t="shared" si="12"/>
        <v>-13</v>
      </c>
      <c r="K318" t="s">
        <v>20</v>
      </c>
      <c r="L318">
        <f t="shared" si="13"/>
        <v>1</v>
      </c>
      <c r="M318">
        <v>8</v>
      </c>
      <c r="N318">
        <v>3</v>
      </c>
      <c r="O318">
        <f t="shared" si="14"/>
        <v>1</v>
      </c>
    </row>
    <row r="319" spans="1:15" x14ac:dyDescent="0.3">
      <c r="A319" t="s">
        <v>15</v>
      </c>
      <c r="B319" t="s">
        <v>127</v>
      </c>
      <c r="C319" t="s">
        <v>128</v>
      </c>
      <c r="D319">
        <v>2</v>
      </c>
      <c r="E319" t="s">
        <v>37</v>
      </c>
      <c r="F319" t="s">
        <v>38</v>
      </c>
      <c r="G319">
        <v>35</v>
      </c>
      <c r="H319">
        <v>37</v>
      </c>
      <c r="I319">
        <v>72</v>
      </c>
      <c r="J319">
        <f t="shared" si="12"/>
        <v>-2</v>
      </c>
      <c r="K319" t="s">
        <v>20</v>
      </c>
      <c r="L319">
        <f t="shared" si="13"/>
        <v>1</v>
      </c>
      <c r="M319">
        <v>8</v>
      </c>
      <c r="N319">
        <v>3</v>
      </c>
      <c r="O319">
        <f t="shared" si="14"/>
        <v>1</v>
      </c>
    </row>
    <row r="320" spans="1:15" x14ac:dyDescent="0.3">
      <c r="A320" t="s">
        <v>15</v>
      </c>
      <c r="B320" t="s">
        <v>127</v>
      </c>
      <c r="C320" t="s">
        <v>128</v>
      </c>
      <c r="D320">
        <v>1</v>
      </c>
      <c r="E320" t="s">
        <v>39</v>
      </c>
      <c r="F320" t="s">
        <v>40</v>
      </c>
      <c r="G320">
        <v>92</v>
      </c>
      <c r="H320">
        <v>0</v>
      </c>
      <c r="I320">
        <v>92</v>
      </c>
      <c r="J320">
        <f t="shared" si="12"/>
        <v>0</v>
      </c>
      <c r="K320" t="s">
        <v>20</v>
      </c>
      <c r="L320">
        <f t="shared" si="13"/>
        <v>1</v>
      </c>
      <c r="M320">
        <v>10</v>
      </c>
      <c r="N320">
        <v>1</v>
      </c>
      <c r="O320">
        <f t="shared" si="14"/>
        <v>0</v>
      </c>
    </row>
    <row r="321" spans="1:15" x14ac:dyDescent="0.3">
      <c r="A321" t="s">
        <v>15</v>
      </c>
      <c r="B321" t="s">
        <v>127</v>
      </c>
      <c r="C321" t="s">
        <v>128</v>
      </c>
      <c r="D321">
        <v>1</v>
      </c>
      <c r="E321" t="s">
        <v>41</v>
      </c>
      <c r="F321" t="s">
        <v>42</v>
      </c>
      <c r="G321">
        <v>32</v>
      </c>
      <c r="H321">
        <v>30</v>
      </c>
      <c r="I321">
        <v>62</v>
      </c>
      <c r="J321">
        <f t="shared" si="12"/>
        <v>2</v>
      </c>
      <c r="K321" t="s">
        <v>20</v>
      </c>
      <c r="L321">
        <f t="shared" si="13"/>
        <v>1</v>
      </c>
      <c r="M321">
        <v>8</v>
      </c>
      <c r="N321">
        <v>3</v>
      </c>
      <c r="O321">
        <f t="shared" si="14"/>
        <v>1</v>
      </c>
    </row>
    <row r="322" spans="1:15" x14ac:dyDescent="0.3">
      <c r="A322" t="s">
        <v>15</v>
      </c>
      <c r="B322" t="s">
        <v>127</v>
      </c>
      <c r="C322" t="s">
        <v>128</v>
      </c>
      <c r="D322">
        <v>1</v>
      </c>
      <c r="E322" t="s">
        <v>43</v>
      </c>
      <c r="F322" t="s">
        <v>44</v>
      </c>
      <c r="G322">
        <v>87</v>
      </c>
      <c r="H322">
        <v>0</v>
      </c>
      <c r="I322">
        <v>87</v>
      </c>
      <c r="J322">
        <f t="shared" ref="J322:J385" si="15">IF(H322=0,0,G322-H322)</f>
        <v>0</v>
      </c>
      <c r="K322" t="s">
        <v>20</v>
      </c>
      <c r="L322">
        <f t="shared" ref="L322:L385" si="16">IF(K322="Pass",1,0)</f>
        <v>1</v>
      </c>
      <c r="M322">
        <v>9</v>
      </c>
      <c r="N322">
        <v>1</v>
      </c>
      <c r="O322">
        <f t="shared" ref="O322:O385" si="17">IF(H322=0,0,1)</f>
        <v>0</v>
      </c>
    </row>
    <row r="323" spans="1:15" x14ac:dyDescent="0.3">
      <c r="A323" t="s">
        <v>15</v>
      </c>
      <c r="B323" t="s">
        <v>127</v>
      </c>
      <c r="C323" t="s">
        <v>128</v>
      </c>
      <c r="D323">
        <v>1</v>
      </c>
      <c r="E323" t="s">
        <v>45</v>
      </c>
      <c r="F323" t="s">
        <v>46</v>
      </c>
      <c r="G323">
        <v>32</v>
      </c>
      <c r="H323">
        <v>35</v>
      </c>
      <c r="I323">
        <v>67</v>
      </c>
      <c r="J323">
        <f t="shared" si="15"/>
        <v>-3</v>
      </c>
      <c r="K323" t="s">
        <v>20</v>
      </c>
      <c r="L323">
        <f t="shared" si="16"/>
        <v>1</v>
      </c>
      <c r="M323">
        <v>7</v>
      </c>
      <c r="N323">
        <v>1</v>
      </c>
      <c r="O323">
        <f t="shared" si="17"/>
        <v>1</v>
      </c>
    </row>
    <row r="324" spans="1:15" x14ac:dyDescent="0.3">
      <c r="A324" t="s">
        <v>15</v>
      </c>
      <c r="B324" t="s">
        <v>127</v>
      </c>
      <c r="C324" t="s">
        <v>128</v>
      </c>
      <c r="D324">
        <v>1</v>
      </c>
      <c r="E324" t="s">
        <v>83</v>
      </c>
      <c r="F324" t="s">
        <v>84</v>
      </c>
      <c r="G324">
        <v>59</v>
      </c>
      <c r="H324">
        <v>39</v>
      </c>
      <c r="I324">
        <v>98</v>
      </c>
      <c r="J324">
        <f t="shared" si="15"/>
        <v>20</v>
      </c>
      <c r="K324" t="s">
        <v>20</v>
      </c>
      <c r="L324">
        <f t="shared" si="16"/>
        <v>1</v>
      </c>
      <c r="M324">
        <v>10</v>
      </c>
      <c r="N324">
        <v>3</v>
      </c>
      <c r="O324">
        <f t="shared" si="17"/>
        <v>1</v>
      </c>
    </row>
    <row r="325" spans="1:15" x14ac:dyDescent="0.3">
      <c r="A325" t="s">
        <v>15</v>
      </c>
      <c r="B325" t="s">
        <v>127</v>
      </c>
      <c r="C325" t="s">
        <v>128</v>
      </c>
      <c r="D325">
        <v>1</v>
      </c>
      <c r="E325" t="s">
        <v>53</v>
      </c>
      <c r="F325" t="s">
        <v>54</v>
      </c>
      <c r="G325">
        <v>44</v>
      </c>
      <c r="H325">
        <v>43</v>
      </c>
      <c r="I325">
        <v>87</v>
      </c>
      <c r="J325">
        <f t="shared" si="15"/>
        <v>1</v>
      </c>
      <c r="K325" t="s">
        <v>20</v>
      </c>
      <c r="L325">
        <f t="shared" si="16"/>
        <v>1</v>
      </c>
      <c r="M325">
        <v>8</v>
      </c>
      <c r="N325">
        <v>4</v>
      </c>
      <c r="O325">
        <f t="shared" si="17"/>
        <v>1</v>
      </c>
    </row>
    <row r="326" spans="1:15" x14ac:dyDescent="0.3">
      <c r="A326" t="s">
        <v>15</v>
      </c>
      <c r="B326" t="s">
        <v>127</v>
      </c>
      <c r="C326" t="s">
        <v>128</v>
      </c>
      <c r="D326">
        <v>1</v>
      </c>
      <c r="E326" t="s">
        <v>55</v>
      </c>
      <c r="F326" t="s">
        <v>56</v>
      </c>
      <c r="G326">
        <v>42</v>
      </c>
      <c r="H326">
        <v>45</v>
      </c>
      <c r="I326">
        <v>87</v>
      </c>
      <c r="J326">
        <f t="shared" si="15"/>
        <v>-3</v>
      </c>
      <c r="K326" t="s">
        <v>20</v>
      </c>
      <c r="L326">
        <f t="shared" si="16"/>
        <v>1</v>
      </c>
      <c r="M326">
        <v>8</v>
      </c>
      <c r="N326">
        <v>3</v>
      </c>
      <c r="O326">
        <f t="shared" si="17"/>
        <v>1</v>
      </c>
    </row>
    <row r="327" spans="1:15" x14ac:dyDescent="0.3">
      <c r="A327" t="s">
        <v>15</v>
      </c>
      <c r="B327" t="s">
        <v>127</v>
      </c>
      <c r="C327" t="s">
        <v>128</v>
      </c>
      <c r="D327">
        <v>1</v>
      </c>
      <c r="E327" t="s">
        <v>57</v>
      </c>
      <c r="F327" t="s">
        <v>58</v>
      </c>
      <c r="G327">
        <v>45</v>
      </c>
      <c r="H327">
        <v>37</v>
      </c>
      <c r="I327">
        <v>82</v>
      </c>
      <c r="J327">
        <f t="shared" si="15"/>
        <v>8</v>
      </c>
      <c r="K327" t="s">
        <v>20</v>
      </c>
      <c r="L327">
        <f t="shared" si="16"/>
        <v>1</v>
      </c>
      <c r="M327">
        <v>9</v>
      </c>
      <c r="N327">
        <v>4</v>
      </c>
      <c r="O327">
        <f t="shared" si="17"/>
        <v>1</v>
      </c>
    </row>
    <row r="328" spans="1:15" x14ac:dyDescent="0.3">
      <c r="A328" t="s">
        <v>15</v>
      </c>
      <c r="B328" t="s">
        <v>129</v>
      </c>
      <c r="C328" t="s">
        <v>130</v>
      </c>
      <c r="D328">
        <v>2</v>
      </c>
      <c r="E328" t="s">
        <v>18</v>
      </c>
      <c r="F328" t="s">
        <v>19</v>
      </c>
      <c r="G328">
        <v>46</v>
      </c>
      <c r="H328">
        <v>32</v>
      </c>
      <c r="I328">
        <v>78</v>
      </c>
      <c r="J328">
        <f t="shared" si="15"/>
        <v>14</v>
      </c>
      <c r="K328" t="s">
        <v>20</v>
      </c>
      <c r="L328">
        <f t="shared" si="16"/>
        <v>1</v>
      </c>
      <c r="M328">
        <v>8</v>
      </c>
      <c r="N328">
        <v>4</v>
      </c>
      <c r="O328">
        <f t="shared" si="17"/>
        <v>1</v>
      </c>
    </row>
    <row r="329" spans="1:15" x14ac:dyDescent="0.3">
      <c r="A329" t="s">
        <v>15</v>
      </c>
      <c r="B329" t="s">
        <v>129</v>
      </c>
      <c r="C329" t="s">
        <v>130</v>
      </c>
      <c r="D329">
        <v>2</v>
      </c>
      <c r="E329" t="s">
        <v>21</v>
      </c>
      <c r="F329" t="s">
        <v>22</v>
      </c>
      <c r="G329">
        <v>40</v>
      </c>
      <c r="H329">
        <v>30</v>
      </c>
      <c r="I329">
        <v>70</v>
      </c>
      <c r="J329">
        <f t="shared" si="15"/>
        <v>10</v>
      </c>
      <c r="K329" t="s">
        <v>20</v>
      </c>
      <c r="L329">
        <f t="shared" si="16"/>
        <v>1</v>
      </c>
      <c r="M329">
        <v>7</v>
      </c>
      <c r="N329">
        <v>4</v>
      </c>
      <c r="O329">
        <f t="shared" si="17"/>
        <v>1</v>
      </c>
    </row>
    <row r="330" spans="1:15" x14ac:dyDescent="0.3">
      <c r="A330" t="s">
        <v>15</v>
      </c>
      <c r="B330" t="s">
        <v>129</v>
      </c>
      <c r="C330" t="s">
        <v>130</v>
      </c>
      <c r="D330">
        <v>2</v>
      </c>
      <c r="E330" t="s">
        <v>23</v>
      </c>
      <c r="F330" t="s">
        <v>24</v>
      </c>
      <c r="G330">
        <v>88</v>
      </c>
      <c r="H330">
        <v>0</v>
      </c>
      <c r="I330">
        <v>88</v>
      </c>
      <c r="J330">
        <f t="shared" si="15"/>
        <v>0</v>
      </c>
      <c r="K330" t="s">
        <v>20</v>
      </c>
      <c r="L330">
        <f t="shared" si="16"/>
        <v>1</v>
      </c>
      <c r="M330">
        <v>9</v>
      </c>
      <c r="N330">
        <v>1</v>
      </c>
      <c r="O330">
        <f t="shared" si="17"/>
        <v>0</v>
      </c>
    </row>
    <row r="331" spans="1:15" x14ac:dyDescent="0.3">
      <c r="A331" t="s">
        <v>15</v>
      </c>
      <c r="B331" t="s">
        <v>129</v>
      </c>
      <c r="C331" t="s">
        <v>130</v>
      </c>
      <c r="D331">
        <v>2</v>
      </c>
      <c r="E331" t="s">
        <v>25</v>
      </c>
      <c r="F331" t="s">
        <v>26</v>
      </c>
      <c r="G331">
        <v>34</v>
      </c>
      <c r="H331">
        <v>32</v>
      </c>
      <c r="I331">
        <v>66</v>
      </c>
      <c r="J331">
        <f t="shared" si="15"/>
        <v>2</v>
      </c>
      <c r="K331" t="s">
        <v>20</v>
      </c>
      <c r="L331">
        <f t="shared" si="16"/>
        <v>1</v>
      </c>
      <c r="M331">
        <v>7</v>
      </c>
      <c r="N331">
        <v>1</v>
      </c>
      <c r="O331">
        <f t="shared" si="17"/>
        <v>1</v>
      </c>
    </row>
    <row r="332" spans="1:15" x14ac:dyDescent="0.3">
      <c r="A332" t="s">
        <v>15</v>
      </c>
      <c r="B332" t="s">
        <v>129</v>
      </c>
      <c r="C332" t="s">
        <v>130</v>
      </c>
      <c r="D332">
        <v>2</v>
      </c>
      <c r="E332" t="s">
        <v>27</v>
      </c>
      <c r="F332" t="s">
        <v>28</v>
      </c>
      <c r="G332">
        <v>31</v>
      </c>
      <c r="H332">
        <v>34</v>
      </c>
      <c r="I332">
        <v>65</v>
      </c>
      <c r="J332">
        <f t="shared" si="15"/>
        <v>-3</v>
      </c>
      <c r="K332" t="s">
        <v>20</v>
      </c>
      <c r="L332">
        <f t="shared" si="16"/>
        <v>1</v>
      </c>
      <c r="M332">
        <v>7</v>
      </c>
      <c r="N332">
        <v>2</v>
      </c>
      <c r="O332">
        <f t="shared" si="17"/>
        <v>1</v>
      </c>
    </row>
    <row r="333" spans="1:15" x14ac:dyDescent="0.3">
      <c r="A333" t="s">
        <v>15</v>
      </c>
      <c r="B333" t="s">
        <v>129</v>
      </c>
      <c r="C333" t="s">
        <v>130</v>
      </c>
      <c r="D333">
        <v>2</v>
      </c>
      <c r="E333" t="s">
        <v>109</v>
      </c>
      <c r="F333" t="s">
        <v>110</v>
      </c>
      <c r="G333">
        <v>86</v>
      </c>
      <c r="H333">
        <v>0</v>
      </c>
      <c r="I333">
        <v>86</v>
      </c>
      <c r="J333">
        <f t="shared" si="15"/>
        <v>0</v>
      </c>
      <c r="K333" t="s">
        <v>20</v>
      </c>
      <c r="L333">
        <f t="shared" si="16"/>
        <v>1</v>
      </c>
      <c r="M333">
        <v>9</v>
      </c>
      <c r="N333">
        <v>1</v>
      </c>
      <c r="O333">
        <f t="shared" si="17"/>
        <v>0</v>
      </c>
    </row>
    <row r="334" spans="1:15" x14ac:dyDescent="0.3">
      <c r="A334" t="s">
        <v>15</v>
      </c>
      <c r="B334" t="s">
        <v>129</v>
      </c>
      <c r="C334" t="s">
        <v>130</v>
      </c>
      <c r="D334">
        <v>2</v>
      </c>
      <c r="E334" t="s">
        <v>31</v>
      </c>
      <c r="F334" t="s">
        <v>32</v>
      </c>
      <c r="G334">
        <v>96</v>
      </c>
      <c r="H334">
        <v>0</v>
      </c>
      <c r="I334">
        <v>96</v>
      </c>
      <c r="J334">
        <f t="shared" si="15"/>
        <v>0</v>
      </c>
      <c r="K334" t="s">
        <v>20</v>
      </c>
      <c r="L334">
        <f t="shared" si="16"/>
        <v>1</v>
      </c>
      <c r="M334">
        <v>10</v>
      </c>
      <c r="N334">
        <v>1</v>
      </c>
      <c r="O334">
        <f t="shared" si="17"/>
        <v>0</v>
      </c>
    </row>
    <row r="335" spans="1:15" x14ac:dyDescent="0.3">
      <c r="A335" t="s">
        <v>15</v>
      </c>
      <c r="B335" t="s">
        <v>129</v>
      </c>
      <c r="C335" t="s">
        <v>130</v>
      </c>
      <c r="D335">
        <v>2</v>
      </c>
      <c r="E335" t="s">
        <v>33</v>
      </c>
      <c r="F335" t="s">
        <v>34</v>
      </c>
      <c r="G335">
        <v>39</v>
      </c>
      <c r="H335">
        <v>27</v>
      </c>
      <c r="I335">
        <v>66</v>
      </c>
      <c r="J335">
        <f t="shared" si="15"/>
        <v>12</v>
      </c>
      <c r="K335" t="s">
        <v>20</v>
      </c>
      <c r="L335">
        <f t="shared" si="16"/>
        <v>1</v>
      </c>
      <c r="M335">
        <v>7</v>
      </c>
      <c r="N335">
        <v>4</v>
      </c>
      <c r="O335">
        <f t="shared" si="17"/>
        <v>1</v>
      </c>
    </row>
    <row r="336" spans="1:15" x14ac:dyDescent="0.3">
      <c r="A336" t="s">
        <v>15</v>
      </c>
      <c r="B336" t="s">
        <v>129</v>
      </c>
      <c r="C336" t="s">
        <v>130</v>
      </c>
      <c r="D336">
        <v>2</v>
      </c>
      <c r="E336" t="s">
        <v>35</v>
      </c>
      <c r="F336" t="s">
        <v>36</v>
      </c>
      <c r="G336">
        <v>26</v>
      </c>
      <c r="H336">
        <v>47</v>
      </c>
      <c r="I336">
        <v>73</v>
      </c>
      <c r="J336">
        <f t="shared" si="15"/>
        <v>-21</v>
      </c>
      <c r="K336" t="s">
        <v>20</v>
      </c>
      <c r="L336">
        <f t="shared" si="16"/>
        <v>1</v>
      </c>
      <c r="M336">
        <v>8</v>
      </c>
      <c r="N336">
        <v>3</v>
      </c>
      <c r="O336">
        <f t="shared" si="17"/>
        <v>1</v>
      </c>
    </row>
    <row r="337" spans="1:15" x14ac:dyDescent="0.3">
      <c r="A337" t="s">
        <v>15</v>
      </c>
      <c r="B337" t="s">
        <v>129</v>
      </c>
      <c r="C337" t="s">
        <v>130</v>
      </c>
      <c r="D337">
        <v>2</v>
      </c>
      <c r="E337" t="s">
        <v>37</v>
      </c>
      <c r="F337" t="s">
        <v>38</v>
      </c>
      <c r="G337">
        <v>31</v>
      </c>
      <c r="H337">
        <v>55</v>
      </c>
      <c r="I337">
        <v>86</v>
      </c>
      <c r="J337">
        <f t="shared" si="15"/>
        <v>-24</v>
      </c>
      <c r="K337" t="s">
        <v>20</v>
      </c>
      <c r="L337">
        <f t="shared" si="16"/>
        <v>1</v>
      </c>
      <c r="M337">
        <v>9</v>
      </c>
      <c r="N337">
        <v>3</v>
      </c>
      <c r="O337">
        <f t="shared" si="17"/>
        <v>1</v>
      </c>
    </row>
    <row r="338" spans="1:15" x14ac:dyDescent="0.3">
      <c r="A338" t="s">
        <v>15</v>
      </c>
      <c r="B338" t="s">
        <v>129</v>
      </c>
      <c r="C338" t="s">
        <v>130</v>
      </c>
      <c r="D338">
        <v>1</v>
      </c>
      <c r="E338" t="s">
        <v>39</v>
      </c>
      <c r="F338" t="s">
        <v>40</v>
      </c>
      <c r="G338">
        <v>92</v>
      </c>
      <c r="H338">
        <v>0</v>
      </c>
      <c r="I338">
        <v>92</v>
      </c>
      <c r="J338">
        <f t="shared" si="15"/>
        <v>0</v>
      </c>
      <c r="K338" t="s">
        <v>20</v>
      </c>
      <c r="L338">
        <f t="shared" si="16"/>
        <v>1</v>
      </c>
      <c r="M338">
        <v>10</v>
      </c>
      <c r="N338">
        <v>1</v>
      </c>
      <c r="O338">
        <f t="shared" si="17"/>
        <v>0</v>
      </c>
    </row>
    <row r="339" spans="1:15" x14ac:dyDescent="0.3">
      <c r="A339" t="s">
        <v>15</v>
      </c>
      <c r="B339" t="s">
        <v>129</v>
      </c>
      <c r="C339" t="s">
        <v>130</v>
      </c>
      <c r="D339">
        <v>1</v>
      </c>
      <c r="E339" t="s">
        <v>41</v>
      </c>
      <c r="F339" t="s">
        <v>42</v>
      </c>
      <c r="G339">
        <v>23</v>
      </c>
      <c r="H339">
        <v>46</v>
      </c>
      <c r="I339">
        <v>69</v>
      </c>
      <c r="J339">
        <f t="shared" si="15"/>
        <v>-23</v>
      </c>
      <c r="K339" t="s">
        <v>20</v>
      </c>
      <c r="L339">
        <f t="shared" si="16"/>
        <v>1</v>
      </c>
      <c r="M339">
        <v>9</v>
      </c>
      <c r="N339">
        <v>3</v>
      </c>
      <c r="O339">
        <f t="shared" si="17"/>
        <v>1</v>
      </c>
    </row>
    <row r="340" spans="1:15" x14ac:dyDescent="0.3">
      <c r="A340" t="s">
        <v>15</v>
      </c>
      <c r="B340" t="s">
        <v>129</v>
      </c>
      <c r="C340" t="s">
        <v>130</v>
      </c>
      <c r="D340">
        <v>1</v>
      </c>
      <c r="E340" t="s">
        <v>43</v>
      </c>
      <c r="F340" t="s">
        <v>44</v>
      </c>
      <c r="G340">
        <v>60</v>
      </c>
      <c r="H340">
        <v>0</v>
      </c>
      <c r="I340">
        <v>60</v>
      </c>
      <c r="J340">
        <f t="shared" si="15"/>
        <v>0</v>
      </c>
      <c r="K340" t="s">
        <v>20</v>
      </c>
      <c r="L340">
        <f t="shared" si="16"/>
        <v>1</v>
      </c>
      <c r="M340">
        <v>6</v>
      </c>
      <c r="N340">
        <v>1</v>
      </c>
      <c r="O340">
        <f t="shared" si="17"/>
        <v>0</v>
      </c>
    </row>
    <row r="341" spans="1:15" x14ac:dyDescent="0.3">
      <c r="A341" t="s">
        <v>15</v>
      </c>
      <c r="B341" t="s">
        <v>129</v>
      </c>
      <c r="C341" t="s">
        <v>130</v>
      </c>
      <c r="D341">
        <v>1</v>
      </c>
      <c r="E341" t="s">
        <v>45</v>
      </c>
      <c r="F341" t="s">
        <v>46</v>
      </c>
      <c r="G341">
        <v>27</v>
      </c>
      <c r="H341">
        <v>38</v>
      </c>
      <c r="I341">
        <v>65</v>
      </c>
      <c r="J341">
        <f t="shared" si="15"/>
        <v>-11</v>
      </c>
      <c r="K341" t="s">
        <v>20</v>
      </c>
      <c r="L341">
        <f t="shared" si="16"/>
        <v>1</v>
      </c>
      <c r="M341">
        <v>7</v>
      </c>
      <c r="N341">
        <v>1</v>
      </c>
      <c r="O341">
        <f t="shared" si="17"/>
        <v>1</v>
      </c>
    </row>
    <row r="342" spans="1:15" x14ac:dyDescent="0.3">
      <c r="A342" t="s">
        <v>15</v>
      </c>
      <c r="B342" t="s">
        <v>129</v>
      </c>
      <c r="C342" t="s">
        <v>130</v>
      </c>
      <c r="D342">
        <v>1</v>
      </c>
      <c r="E342" t="s">
        <v>71</v>
      </c>
      <c r="F342" t="s">
        <v>72</v>
      </c>
      <c r="G342">
        <v>74</v>
      </c>
      <c r="H342">
        <v>0</v>
      </c>
      <c r="I342">
        <v>74</v>
      </c>
      <c r="J342">
        <f t="shared" si="15"/>
        <v>0</v>
      </c>
      <c r="K342" t="s">
        <v>20</v>
      </c>
      <c r="L342">
        <f t="shared" si="16"/>
        <v>1</v>
      </c>
      <c r="M342">
        <v>8</v>
      </c>
      <c r="N342">
        <v>1</v>
      </c>
      <c r="O342">
        <f t="shared" si="17"/>
        <v>0</v>
      </c>
    </row>
    <row r="343" spans="1:15" x14ac:dyDescent="0.3">
      <c r="A343" t="s">
        <v>15</v>
      </c>
      <c r="B343" t="s">
        <v>129</v>
      </c>
      <c r="C343" t="s">
        <v>130</v>
      </c>
      <c r="D343">
        <v>1</v>
      </c>
      <c r="E343" t="s">
        <v>49</v>
      </c>
      <c r="F343" t="s">
        <v>50</v>
      </c>
      <c r="G343">
        <v>95</v>
      </c>
      <c r="H343">
        <v>0</v>
      </c>
      <c r="I343">
        <v>95</v>
      </c>
      <c r="J343">
        <f t="shared" si="15"/>
        <v>0</v>
      </c>
      <c r="K343" t="s">
        <v>20</v>
      </c>
      <c r="L343">
        <f t="shared" si="16"/>
        <v>1</v>
      </c>
      <c r="M343">
        <v>10</v>
      </c>
      <c r="N343">
        <v>1</v>
      </c>
      <c r="O343">
        <f t="shared" si="17"/>
        <v>0</v>
      </c>
    </row>
    <row r="344" spans="1:15" x14ac:dyDescent="0.3">
      <c r="A344" t="s">
        <v>15</v>
      </c>
      <c r="B344" t="s">
        <v>129</v>
      </c>
      <c r="C344" t="s">
        <v>130</v>
      </c>
      <c r="D344">
        <v>1</v>
      </c>
      <c r="E344" t="s">
        <v>51</v>
      </c>
      <c r="F344" t="s">
        <v>52</v>
      </c>
      <c r="G344">
        <v>84</v>
      </c>
      <c r="H344">
        <v>0</v>
      </c>
      <c r="I344">
        <v>84</v>
      </c>
      <c r="J344">
        <f t="shared" si="15"/>
        <v>0</v>
      </c>
      <c r="K344" t="s">
        <v>20</v>
      </c>
      <c r="L344">
        <f t="shared" si="16"/>
        <v>1</v>
      </c>
      <c r="M344">
        <v>9</v>
      </c>
      <c r="N344">
        <v>1</v>
      </c>
      <c r="O344">
        <f t="shared" si="17"/>
        <v>0</v>
      </c>
    </row>
    <row r="345" spans="1:15" x14ac:dyDescent="0.3">
      <c r="A345" t="s">
        <v>15</v>
      </c>
      <c r="B345" t="s">
        <v>129</v>
      </c>
      <c r="C345" t="s">
        <v>130</v>
      </c>
      <c r="D345">
        <v>1</v>
      </c>
      <c r="E345" t="s">
        <v>53</v>
      </c>
      <c r="F345" t="s">
        <v>54</v>
      </c>
      <c r="G345">
        <v>40</v>
      </c>
      <c r="H345">
        <v>40</v>
      </c>
      <c r="I345">
        <v>80</v>
      </c>
      <c r="J345">
        <f t="shared" si="15"/>
        <v>0</v>
      </c>
      <c r="K345" t="s">
        <v>20</v>
      </c>
      <c r="L345">
        <f t="shared" si="16"/>
        <v>1</v>
      </c>
      <c r="M345">
        <v>8</v>
      </c>
      <c r="N345">
        <v>4</v>
      </c>
      <c r="O345">
        <f t="shared" si="17"/>
        <v>1</v>
      </c>
    </row>
    <row r="346" spans="1:15" x14ac:dyDescent="0.3">
      <c r="A346" t="s">
        <v>15</v>
      </c>
      <c r="B346" t="s">
        <v>129</v>
      </c>
      <c r="C346" t="s">
        <v>130</v>
      </c>
      <c r="D346">
        <v>1</v>
      </c>
      <c r="E346" t="s">
        <v>55</v>
      </c>
      <c r="F346" t="s">
        <v>56</v>
      </c>
      <c r="G346">
        <v>41</v>
      </c>
      <c r="H346">
        <v>47</v>
      </c>
      <c r="I346">
        <v>88</v>
      </c>
      <c r="J346">
        <f t="shared" si="15"/>
        <v>-6</v>
      </c>
      <c r="K346" t="s">
        <v>20</v>
      </c>
      <c r="L346">
        <f t="shared" si="16"/>
        <v>1</v>
      </c>
      <c r="M346">
        <v>9</v>
      </c>
      <c r="N346">
        <v>3</v>
      </c>
      <c r="O346">
        <f t="shared" si="17"/>
        <v>1</v>
      </c>
    </row>
    <row r="347" spans="1:15" x14ac:dyDescent="0.3">
      <c r="A347" t="s">
        <v>15</v>
      </c>
      <c r="B347" t="s">
        <v>129</v>
      </c>
      <c r="C347" t="s">
        <v>130</v>
      </c>
      <c r="D347">
        <v>1</v>
      </c>
      <c r="E347" t="s">
        <v>57</v>
      </c>
      <c r="F347" t="s">
        <v>58</v>
      </c>
      <c r="G347">
        <v>36</v>
      </c>
      <c r="H347">
        <v>35</v>
      </c>
      <c r="I347">
        <v>71</v>
      </c>
      <c r="J347">
        <f t="shared" si="15"/>
        <v>1</v>
      </c>
      <c r="K347" t="s">
        <v>20</v>
      </c>
      <c r="L347">
        <f t="shared" si="16"/>
        <v>1</v>
      </c>
      <c r="M347">
        <v>8</v>
      </c>
      <c r="N347">
        <v>4</v>
      </c>
      <c r="O347">
        <f t="shared" si="17"/>
        <v>1</v>
      </c>
    </row>
    <row r="348" spans="1:15" x14ac:dyDescent="0.3">
      <c r="A348" t="s">
        <v>15</v>
      </c>
      <c r="B348" t="s">
        <v>131</v>
      </c>
      <c r="C348" t="s">
        <v>132</v>
      </c>
      <c r="D348">
        <v>2</v>
      </c>
      <c r="E348" t="s">
        <v>21</v>
      </c>
      <c r="F348" t="s">
        <v>22</v>
      </c>
      <c r="G348">
        <v>36</v>
      </c>
      <c r="H348">
        <v>18</v>
      </c>
      <c r="I348">
        <v>54</v>
      </c>
      <c r="J348">
        <f t="shared" si="15"/>
        <v>18</v>
      </c>
      <c r="K348" t="s">
        <v>87</v>
      </c>
      <c r="L348">
        <f t="shared" si="16"/>
        <v>0</v>
      </c>
      <c r="M348">
        <v>0</v>
      </c>
      <c r="N348">
        <v>4</v>
      </c>
      <c r="O348">
        <f t="shared" si="17"/>
        <v>1</v>
      </c>
    </row>
    <row r="349" spans="1:15" x14ac:dyDescent="0.3">
      <c r="A349" t="s">
        <v>15</v>
      </c>
      <c r="B349" t="s">
        <v>131</v>
      </c>
      <c r="C349" t="s">
        <v>132</v>
      </c>
      <c r="D349">
        <v>2</v>
      </c>
      <c r="E349" t="s">
        <v>33</v>
      </c>
      <c r="F349" t="s">
        <v>34</v>
      </c>
      <c r="G349">
        <v>32</v>
      </c>
      <c r="H349">
        <v>11</v>
      </c>
      <c r="I349">
        <v>43</v>
      </c>
      <c r="J349">
        <f t="shared" si="15"/>
        <v>21</v>
      </c>
      <c r="K349" t="s">
        <v>87</v>
      </c>
      <c r="L349">
        <f t="shared" si="16"/>
        <v>0</v>
      </c>
      <c r="M349">
        <v>0</v>
      </c>
      <c r="N349">
        <v>4</v>
      </c>
      <c r="O349">
        <f t="shared" si="17"/>
        <v>1</v>
      </c>
    </row>
    <row r="350" spans="1:15" x14ac:dyDescent="0.3">
      <c r="A350" t="s">
        <v>15</v>
      </c>
      <c r="B350" t="s">
        <v>131</v>
      </c>
      <c r="C350" t="s">
        <v>132</v>
      </c>
      <c r="D350">
        <v>2</v>
      </c>
      <c r="E350" t="s">
        <v>18</v>
      </c>
      <c r="F350" t="s">
        <v>19</v>
      </c>
      <c r="G350">
        <v>39</v>
      </c>
      <c r="H350">
        <v>24</v>
      </c>
      <c r="I350">
        <v>63</v>
      </c>
      <c r="J350">
        <f t="shared" si="15"/>
        <v>15</v>
      </c>
      <c r="K350" t="s">
        <v>20</v>
      </c>
      <c r="L350">
        <f t="shared" si="16"/>
        <v>1</v>
      </c>
      <c r="M350">
        <v>7</v>
      </c>
      <c r="N350">
        <v>4</v>
      </c>
      <c r="O350">
        <f t="shared" si="17"/>
        <v>1</v>
      </c>
    </row>
    <row r="351" spans="1:15" x14ac:dyDescent="0.3">
      <c r="A351" t="s">
        <v>15</v>
      </c>
      <c r="B351" t="s">
        <v>131</v>
      </c>
      <c r="C351" t="s">
        <v>132</v>
      </c>
      <c r="D351">
        <v>2</v>
      </c>
      <c r="E351" t="s">
        <v>23</v>
      </c>
      <c r="F351" t="s">
        <v>24</v>
      </c>
      <c r="G351">
        <v>73</v>
      </c>
      <c r="H351">
        <v>0</v>
      </c>
      <c r="I351">
        <v>73</v>
      </c>
      <c r="J351">
        <f t="shared" si="15"/>
        <v>0</v>
      </c>
      <c r="K351" t="s">
        <v>20</v>
      </c>
      <c r="L351">
        <f t="shared" si="16"/>
        <v>1</v>
      </c>
      <c r="M351">
        <v>8</v>
      </c>
      <c r="N351">
        <v>1</v>
      </c>
      <c r="O351">
        <f t="shared" si="17"/>
        <v>0</v>
      </c>
    </row>
    <row r="352" spans="1:15" x14ac:dyDescent="0.3">
      <c r="A352" t="s">
        <v>15</v>
      </c>
      <c r="B352" t="s">
        <v>131</v>
      </c>
      <c r="C352" t="s">
        <v>132</v>
      </c>
      <c r="D352">
        <v>2</v>
      </c>
      <c r="E352" t="s">
        <v>25</v>
      </c>
      <c r="F352" t="s">
        <v>26</v>
      </c>
      <c r="G352">
        <v>33</v>
      </c>
      <c r="H352">
        <v>31</v>
      </c>
      <c r="I352">
        <v>64</v>
      </c>
      <c r="J352">
        <f t="shared" si="15"/>
        <v>2</v>
      </c>
      <c r="K352" t="s">
        <v>20</v>
      </c>
      <c r="L352">
        <f t="shared" si="16"/>
        <v>1</v>
      </c>
      <c r="M352">
        <v>7</v>
      </c>
      <c r="N352">
        <v>1</v>
      </c>
      <c r="O352">
        <f t="shared" si="17"/>
        <v>1</v>
      </c>
    </row>
    <row r="353" spans="1:15" x14ac:dyDescent="0.3">
      <c r="A353" t="s">
        <v>15</v>
      </c>
      <c r="B353" t="s">
        <v>131</v>
      </c>
      <c r="C353" t="s">
        <v>132</v>
      </c>
      <c r="D353">
        <v>2</v>
      </c>
      <c r="E353" t="s">
        <v>27</v>
      </c>
      <c r="F353" t="s">
        <v>28</v>
      </c>
      <c r="G353">
        <v>22</v>
      </c>
      <c r="H353">
        <v>28</v>
      </c>
      <c r="I353">
        <v>50</v>
      </c>
      <c r="J353">
        <f t="shared" si="15"/>
        <v>-6</v>
      </c>
      <c r="K353" t="s">
        <v>20</v>
      </c>
      <c r="L353">
        <f t="shared" si="16"/>
        <v>1</v>
      </c>
      <c r="M353">
        <v>5</v>
      </c>
      <c r="N353">
        <v>2</v>
      </c>
      <c r="O353">
        <f t="shared" si="17"/>
        <v>1</v>
      </c>
    </row>
    <row r="354" spans="1:15" x14ac:dyDescent="0.3">
      <c r="A354" t="s">
        <v>15</v>
      </c>
      <c r="B354" t="s">
        <v>131</v>
      </c>
      <c r="C354" t="s">
        <v>132</v>
      </c>
      <c r="D354">
        <v>2</v>
      </c>
      <c r="E354" t="s">
        <v>133</v>
      </c>
      <c r="F354" t="s">
        <v>134</v>
      </c>
      <c r="G354">
        <v>86</v>
      </c>
      <c r="H354">
        <v>0</v>
      </c>
      <c r="I354">
        <v>86</v>
      </c>
      <c r="J354">
        <f t="shared" si="15"/>
        <v>0</v>
      </c>
      <c r="K354" t="s">
        <v>20</v>
      </c>
      <c r="L354">
        <f t="shared" si="16"/>
        <v>1</v>
      </c>
      <c r="M354">
        <v>9</v>
      </c>
      <c r="N354">
        <v>1</v>
      </c>
      <c r="O354">
        <f t="shared" si="17"/>
        <v>0</v>
      </c>
    </row>
    <row r="355" spans="1:15" x14ac:dyDescent="0.3">
      <c r="A355" t="s">
        <v>15</v>
      </c>
      <c r="B355" t="s">
        <v>131</v>
      </c>
      <c r="C355" t="s">
        <v>132</v>
      </c>
      <c r="D355">
        <v>2</v>
      </c>
      <c r="E355" t="s">
        <v>31</v>
      </c>
      <c r="F355" t="s">
        <v>32</v>
      </c>
      <c r="G355">
        <v>96</v>
      </c>
      <c r="H355">
        <v>0</v>
      </c>
      <c r="I355">
        <v>96</v>
      </c>
      <c r="J355">
        <f t="shared" si="15"/>
        <v>0</v>
      </c>
      <c r="K355" t="s">
        <v>20</v>
      </c>
      <c r="L355">
        <f t="shared" si="16"/>
        <v>1</v>
      </c>
      <c r="M355">
        <v>10</v>
      </c>
      <c r="N355">
        <v>1</v>
      </c>
      <c r="O355">
        <f t="shared" si="17"/>
        <v>0</v>
      </c>
    </row>
    <row r="356" spans="1:15" x14ac:dyDescent="0.3">
      <c r="A356" t="s">
        <v>15</v>
      </c>
      <c r="B356" t="s">
        <v>131</v>
      </c>
      <c r="C356" t="s">
        <v>132</v>
      </c>
      <c r="D356">
        <v>2</v>
      </c>
      <c r="E356" t="s">
        <v>35</v>
      </c>
      <c r="F356" t="s">
        <v>36</v>
      </c>
      <c r="G356">
        <v>21</v>
      </c>
      <c r="H356">
        <v>32</v>
      </c>
      <c r="I356">
        <v>53</v>
      </c>
      <c r="J356">
        <f t="shared" si="15"/>
        <v>-11</v>
      </c>
      <c r="K356" t="s">
        <v>20</v>
      </c>
      <c r="L356">
        <f t="shared" si="16"/>
        <v>1</v>
      </c>
      <c r="M356">
        <v>5</v>
      </c>
      <c r="N356">
        <v>3</v>
      </c>
      <c r="O356">
        <f t="shared" si="17"/>
        <v>1</v>
      </c>
    </row>
    <row r="357" spans="1:15" x14ac:dyDescent="0.3">
      <c r="A357" t="s">
        <v>15</v>
      </c>
      <c r="B357" t="s">
        <v>131</v>
      </c>
      <c r="C357" t="s">
        <v>132</v>
      </c>
      <c r="D357">
        <v>2</v>
      </c>
      <c r="E357" t="s">
        <v>37</v>
      </c>
      <c r="F357" t="s">
        <v>38</v>
      </c>
      <c r="G357">
        <v>23</v>
      </c>
      <c r="H357">
        <v>34</v>
      </c>
      <c r="I357">
        <v>57</v>
      </c>
      <c r="J357">
        <f t="shared" si="15"/>
        <v>-11</v>
      </c>
      <c r="K357" t="s">
        <v>20</v>
      </c>
      <c r="L357">
        <f t="shared" si="16"/>
        <v>1</v>
      </c>
      <c r="M357">
        <v>6</v>
      </c>
      <c r="N357">
        <v>3</v>
      </c>
      <c r="O357">
        <f t="shared" si="17"/>
        <v>1</v>
      </c>
    </row>
    <row r="358" spans="1:15" x14ac:dyDescent="0.3">
      <c r="A358" t="s">
        <v>15</v>
      </c>
      <c r="B358" t="s">
        <v>131</v>
      </c>
      <c r="C358" t="s">
        <v>132</v>
      </c>
      <c r="D358">
        <v>1</v>
      </c>
      <c r="E358" t="s">
        <v>39</v>
      </c>
      <c r="F358" t="s">
        <v>40</v>
      </c>
      <c r="G358">
        <v>94</v>
      </c>
      <c r="H358">
        <v>0</v>
      </c>
      <c r="I358">
        <v>94</v>
      </c>
      <c r="J358">
        <f t="shared" si="15"/>
        <v>0</v>
      </c>
      <c r="K358" t="s">
        <v>20</v>
      </c>
      <c r="L358">
        <f t="shared" si="16"/>
        <v>1</v>
      </c>
      <c r="M358">
        <v>10</v>
      </c>
      <c r="N358">
        <v>1</v>
      </c>
      <c r="O358">
        <f t="shared" si="17"/>
        <v>0</v>
      </c>
    </row>
    <row r="359" spans="1:15" x14ac:dyDescent="0.3">
      <c r="A359" t="s">
        <v>15</v>
      </c>
      <c r="B359" t="s">
        <v>131</v>
      </c>
      <c r="C359" t="s">
        <v>132</v>
      </c>
      <c r="D359">
        <v>1</v>
      </c>
      <c r="E359" t="s">
        <v>41</v>
      </c>
      <c r="F359" t="s">
        <v>42</v>
      </c>
      <c r="G359">
        <v>19</v>
      </c>
      <c r="H359">
        <v>33</v>
      </c>
      <c r="I359">
        <v>52</v>
      </c>
      <c r="J359">
        <f t="shared" si="15"/>
        <v>-14</v>
      </c>
      <c r="K359" t="s">
        <v>20</v>
      </c>
      <c r="L359">
        <f t="shared" si="16"/>
        <v>1</v>
      </c>
      <c r="M359">
        <v>6</v>
      </c>
      <c r="N359">
        <v>3</v>
      </c>
      <c r="O359">
        <f t="shared" si="17"/>
        <v>1</v>
      </c>
    </row>
    <row r="360" spans="1:15" x14ac:dyDescent="0.3">
      <c r="A360" t="s">
        <v>15</v>
      </c>
      <c r="B360" t="s">
        <v>131</v>
      </c>
      <c r="C360" t="s">
        <v>132</v>
      </c>
      <c r="D360">
        <v>1</v>
      </c>
      <c r="E360" t="s">
        <v>43</v>
      </c>
      <c r="F360" t="s">
        <v>44</v>
      </c>
      <c r="G360">
        <v>74</v>
      </c>
      <c r="H360">
        <v>0</v>
      </c>
      <c r="I360">
        <v>74</v>
      </c>
      <c r="J360">
        <f t="shared" si="15"/>
        <v>0</v>
      </c>
      <c r="K360" t="s">
        <v>20</v>
      </c>
      <c r="L360">
        <f t="shared" si="16"/>
        <v>1</v>
      </c>
      <c r="M360">
        <v>8</v>
      </c>
      <c r="N360">
        <v>1</v>
      </c>
      <c r="O360">
        <f t="shared" si="17"/>
        <v>0</v>
      </c>
    </row>
    <row r="361" spans="1:15" x14ac:dyDescent="0.3">
      <c r="A361" t="s">
        <v>15</v>
      </c>
      <c r="B361" t="s">
        <v>131</v>
      </c>
      <c r="C361" t="s">
        <v>132</v>
      </c>
      <c r="D361">
        <v>1</v>
      </c>
      <c r="E361" t="s">
        <v>45</v>
      </c>
      <c r="F361" t="s">
        <v>46</v>
      </c>
      <c r="G361">
        <v>22</v>
      </c>
      <c r="H361">
        <v>37</v>
      </c>
      <c r="I361">
        <v>59</v>
      </c>
      <c r="J361">
        <f t="shared" si="15"/>
        <v>-15</v>
      </c>
      <c r="K361" t="s">
        <v>20</v>
      </c>
      <c r="L361">
        <f t="shared" si="16"/>
        <v>1</v>
      </c>
      <c r="M361">
        <v>6</v>
      </c>
      <c r="N361">
        <v>1</v>
      </c>
      <c r="O361">
        <f t="shared" si="17"/>
        <v>1</v>
      </c>
    </row>
    <row r="362" spans="1:15" x14ac:dyDescent="0.3">
      <c r="A362" t="s">
        <v>15</v>
      </c>
      <c r="B362" t="s">
        <v>131</v>
      </c>
      <c r="C362" t="s">
        <v>132</v>
      </c>
      <c r="D362">
        <v>1</v>
      </c>
      <c r="E362" t="s">
        <v>115</v>
      </c>
      <c r="F362" t="s">
        <v>116</v>
      </c>
      <c r="G362">
        <v>75</v>
      </c>
      <c r="H362">
        <v>0</v>
      </c>
      <c r="I362">
        <v>75</v>
      </c>
      <c r="J362">
        <f t="shared" si="15"/>
        <v>0</v>
      </c>
      <c r="K362" t="s">
        <v>20</v>
      </c>
      <c r="L362">
        <f t="shared" si="16"/>
        <v>1</v>
      </c>
      <c r="M362">
        <v>8</v>
      </c>
      <c r="N362">
        <v>1</v>
      </c>
      <c r="O362">
        <f t="shared" si="17"/>
        <v>0</v>
      </c>
    </row>
    <row r="363" spans="1:15" x14ac:dyDescent="0.3">
      <c r="A363" t="s">
        <v>15</v>
      </c>
      <c r="B363" t="s">
        <v>131</v>
      </c>
      <c r="C363" t="s">
        <v>132</v>
      </c>
      <c r="D363">
        <v>1</v>
      </c>
      <c r="E363" t="s">
        <v>49</v>
      </c>
      <c r="F363" t="s">
        <v>50</v>
      </c>
      <c r="G363">
        <v>95</v>
      </c>
      <c r="H363">
        <v>0</v>
      </c>
      <c r="I363">
        <v>95</v>
      </c>
      <c r="J363">
        <f t="shared" si="15"/>
        <v>0</v>
      </c>
      <c r="K363" t="s">
        <v>20</v>
      </c>
      <c r="L363">
        <f t="shared" si="16"/>
        <v>1</v>
      </c>
      <c r="M363">
        <v>10</v>
      </c>
      <c r="N363">
        <v>1</v>
      </c>
      <c r="O363">
        <f t="shared" si="17"/>
        <v>0</v>
      </c>
    </row>
    <row r="364" spans="1:15" x14ac:dyDescent="0.3">
      <c r="A364" t="s">
        <v>15</v>
      </c>
      <c r="B364" t="s">
        <v>131</v>
      </c>
      <c r="C364" t="s">
        <v>132</v>
      </c>
      <c r="D364">
        <v>1</v>
      </c>
      <c r="E364" t="s">
        <v>51</v>
      </c>
      <c r="F364" t="s">
        <v>52</v>
      </c>
      <c r="G364">
        <v>80</v>
      </c>
      <c r="H364">
        <v>0</v>
      </c>
      <c r="I364">
        <v>80</v>
      </c>
      <c r="J364">
        <f t="shared" si="15"/>
        <v>0</v>
      </c>
      <c r="K364" t="s">
        <v>20</v>
      </c>
      <c r="L364">
        <f t="shared" si="16"/>
        <v>1</v>
      </c>
      <c r="M364">
        <v>8</v>
      </c>
      <c r="N364">
        <v>1</v>
      </c>
      <c r="O364">
        <f t="shared" si="17"/>
        <v>0</v>
      </c>
    </row>
    <row r="365" spans="1:15" x14ac:dyDescent="0.3">
      <c r="A365" t="s">
        <v>15</v>
      </c>
      <c r="B365" t="s">
        <v>131</v>
      </c>
      <c r="C365" t="s">
        <v>132</v>
      </c>
      <c r="D365">
        <v>1</v>
      </c>
      <c r="E365" t="s">
        <v>53</v>
      </c>
      <c r="F365" t="s">
        <v>54</v>
      </c>
      <c r="G365">
        <v>33</v>
      </c>
      <c r="H365">
        <v>26</v>
      </c>
      <c r="I365">
        <v>59</v>
      </c>
      <c r="J365">
        <f t="shared" si="15"/>
        <v>7</v>
      </c>
      <c r="K365" t="s">
        <v>20</v>
      </c>
      <c r="L365">
        <f t="shared" si="16"/>
        <v>1</v>
      </c>
      <c r="M365">
        <v>6</v>
      </c>
      <c r="N365">
        <v>4</v>
      </c>
      <c r="O365">
        <f t="shared" si="17"/>
        <v>1</v>
      </c>
    </row>
    <row r="366" spans="1:15" x14ac:dyDescent="0.3">
      <c r="A366" t="s">
        <v>15</v>
      </c>
      <c r="B366" t="s">
        <v>131</v>
      </c>
      <c r="C366" t="s">
        <v>132</v>
      </c>
      <c r="D366">
        <v>1</v>
      </c>
      <c r="E366" t="s">
        <v>55</v>
      </c>
      <c r="F366" t="s">
        <v>56</v>
      </c>
      <c r="G366">
        <v>37</v>
      </c>
      <c r="H366">
        <v>36</v>
      </c>
      <c r="I366">
        <v>73</v>
      </c>
      <c r="J366">
        <f t="shared" si="15"/>
        <v>1</v>
      </c>
      <c r="K366" t="s">
        <v>20</v>
      </c>
      <c r="L366">
        <f t="shared" si="16"/>
        <v>1</v>
      </c>
      <c r="M366">
        <v>8</v>
      </c>
      <c r="N366">
        <v>3</v>
      </c>
      <c r="O366">
        <f t="shared" si="17"/>
        <v>1</v>
      </c>
    </row>
    <row r="367" spans="1:15" x14ac:dyDescent="0.3">
      <c r="A367" t="s">
        <v>15</v>
      </c>
      <c r="B367" t="s">
        <v>131</v>
      </c>
      <c r="C367" t="s">
        <v>132</v>
      </c>
      <c r="D367">
        <v>1</v>
      </c>
      <c r="E367" t="s">
        <v>57</v>
      </c>
      <c r="F367" t="s">
        <v>58</v>
      </c>
      <c r="G367">
        <v>30</v>
      </c>
      <c r="H367">
        <v>25</v>
      </c>
      <c r="I367">
        <v>55</v>
      </c>
      <c r="J367">
        <f t="shared" si="15"/>
        <v>5</v>
      </c>
      <c r="K367" t="s">
        <v>20</v>
      </c>
      <c r="L367">
        <f t="shared" si="16"/>
        <v>1</v>
      </c>
      <c r="M367">
        <v>6</v>
      </c>
      <c r="N367">
        <v>4</v>
      </c>
      <c r="O367">
        <f t="shared" si="17"/>
        <v>1</v>
      </c>
    </row>
    <row r="368" spans="1:15" x14ac:dyDescent="0.3">
      <c r="A368" t="s">
        <v>15</v>
      </c>
      <c r="B368" t="s">
        <v>135</v>
      </c>
      <c r="C368" t="s">
        <v>136</v>
      </c>
      <c r="D368">
        <v>2</v>
      </c>
      <c r="E368" t="s">
        <v>33</v>
      </c>
      <c r="F368" t="s">
        <v>34</v>
      </c>
      <c r="G368">
        <v>38</v>
      </c>
      <c r="H368">
        <v>9</v>
      </c>
      <c r="I368">
        <v>47</v>
      </c>
      <c r="J368">
        <f t="shared" si="15"/>
        <v>29</v>
      </c>
      <c r="K368" t="s">
        <v>87</v>
      </c>
      <c r="L368">
        <f t="shared" si="16"/>
        <v>0</v>
      </c>
      <c r="M368">
        <v>0</v>
      </c>
      <c r="N368">
        <v>4</v>
      </c>
      <c r="O368">
        <f t="shared" si="17"/>
        <v>1</v>
      </c>
    </row>
    <row r="369" spans="1:15" x14ac:dyDescent="0.3">
      <c r="A369" t="s">
        <v>15</v>
      </c>
      <c r="B369" t="s">
        <v>135</v>
      </c>
      <c r="C369" t="s">
        <v>136</v>
      </c>
      <c r="D369">
        <v>2</v>
      </c>
      <c r="E369" t="s">
        <v>35</v>
      </c>
      <c r="F369" t="s">
        <v>36</v>
      </c>
      <c r="G369">
        <v>14</v>
      </c>
      <c r="H369">
        <v>31</v>
      </c>
      <c r="I369">
        <v>45</v>
      </c>
      <c r="J369">
        <f t="shared" si="15"/>
        <v>-17</v>
      </c>
      <c r="K369" t="s">
        <v>87</v>
      </c>
      <c r="L369">
        <f t="shared" si="16"/>
        <v>0</v>
      </c>
      <c r="M369">
        <v>0</v>
      </c>
      <c r="N369">
        <v>3</v>
      </c>
      <c r="O369">
        <f t="shared" si="17"/>
        <v>1</v>
      </c>
    </row>
    <row r="370" spans="1:15" x14ac:dyDescent="0.3">
      <c r="A370" t="s">
        <v>15</v>
      </c>
      <c r="B370" t="s">
        <v>135</v>
      </c>
      <c r="C370" t="s">
        <v>136</v>
      </c>
      <c r="D370">
        <v>2</v>
      </c>
      <c r="E370" t="s">
        <v>18</v>
      </c>
      <c r="F370" t="s">
        <v>19</v>
      </c>
      <c r="G370">
        <v>39</v>
      </c>
      <c r="H370">
        <v>31</v>
      </c>
      <c r="I370">
        <v>70</v>
      </c>
      <c r="J370">
        <f t="shared" si="15"/>
        <v>8</v>
      </c>
      <c r="K370" t="s">
        <v>20</v>
      </c>
      <c r="L370">
        <f t="shared" si="16"/>
        <v>1</v>
      </c>
      <c r="M370">
        <v>7</v>
      </c>
      <c r="N370">
        <v>4</v>
      </c>
      <c r="O370">
        <f t="shared" si="17"/>
        <v>1</v>
      </c>
    </row>
    <row r="371" spans="1:15" x14ac:dyDescent="0.3">
      <c r="A371" t="s">
        <v>15</v>
      </c>
      <c r="B371" t="s">
        <v>135</v>
      </c>
      <c r="C371" t="s">
        <v>136</v>
      </c>
      <c r="D371">
        <v>2</v>
      </c>
      <c r="E371" t="s">
        <v>21</v>
      </c>
      <c r="F371" t="s">
        <v>22</v>
      </c>
      <c r="G371">
        <v>40</v>
      </c>
      <c r="H371">
        <v>28</v>
      </c>
      <c r="I371">
        <v>68</v>
      </c>
      <c r="J371">
        <f t="shared" si="15"/>
        <v>12</v>
      </c>
      <c r="K371" t="s">
        <v>20</v>
      </c>
      <c r="L371">
        <f t="shared" si="16"/>
        <v>1</v>
      </c>
      <c r="M371">
        <v>7</v>
      </c>
      <c r="N371">
        <v>4</v>
      </c>
      <c r="O371">
        <f t="shared" si="17"/>
        <v>1</v>
      </c>
    </row>
    <row r="372" spans="1:15" x14ac:dyDescent="0.3">
      <c r="A372" t="s">
        <v>15</v>
      </c>
      <c r="B372" t="s">
        <v>135</v>
      </c>
      <c r="C372" t="s">
        <v>136</v>
      </c>
      <c r="D372">
        <v>2</v>
      </c>
      <c r="E372" t="s">
        <v>25</v>
      </c>
      <c r="F372" t="s">
        <v>26</v>
      </c>
      <c r="G372">
        <v>35</v>
      </c>
      <c r="H372">
        <v>26</v>
      </c>
      <c r="I372">
        <v>61</v>
      </c>
      <c r="J372">
        <f t="shared" si="15"/>
        <v>9</v>
      </c>
      <c r="K372" t="s">
        <v>20</v>
      </c>
      <c r="L372">
        <f t="shared" si="16"/>
        <v>1</v>
      </c>
      <c r="M372">
        <v>6</v>
      </c>
      <c r="N372">
        <v>1</v>
      </c>
      <c r="O372">
        <f t="shared" si="17"/>
        <v>1</v>
      </c>
    </row>
    <row r="373" spans="1:15" x14ac:dyDescent="0.3">
      <c r="A373" t="s">
        <v>15</v>
      </c>
      <c r="B373" t="s">
        <v>135</v>
      </c>
      <c r="C373" t="s">
        <v>136</v>
      </c>
      <c r="D373">
        <v>2</v>
      </c>
      <c r="E373" t="s">
        <v>61</v>
      </c>
      <c r="F373" t="s">
        <v>62</v>
      </c>
      <c r="G373">
        <v>26</v>
      </c>
      <c r="H373">
        <v>40</v>
      </c>
      <c r="I373">
        <v>66</v>
      </c>
      <c r="J373">
        <f t="shared" si="15"/>
        <v>-14</v>
      </c>
      <c r="K373" t="s">
        <v>20</v>
      </c>
      <c r="L373">
        <f t="shared" si="16"/>
        <v>1</v>
      </c>
      <c r="M373">
        <v>7</v>
      </c>
      <c r="N373">
        <v>2</v>
      </c>
      <c r="O373">
        <f t="shared" si="17"/>
        <v>1</v>
      </c>
    </row>
    <row r="374" spans="1:15" x14ac:dyDescent="0.3">
      <c r="A374" t="s">
        <v>15</v>
      </c>
      <c r="B374" t="s">
        <v>135</v>
      </c>
      <c r="C374" t="s">
        <v>136</v>
      </c>
      <c r="D374">
        <v>2</v>
      </c>
      <c r="E374" t="s">
        <v>81</v>
      </c>
      <c r="F374" t="s">
        <v>82</v>
      </c>
      <c r="G374">
        <v>51</v>
      </c>
      <c r="H374">
        <v>36</v>
      </c>
      <c r="I374">
        <v>87</v>
      </c>
      <c r="J374">
        <f t="shared" si="15"/>
        <v>15</v>
      </c>
      <c r="K374" t="s">
        <v>20</v>
      </c>
      <c r="L374">
        <f t="shared" si="16"/>
        <v>1</v>
      </c>
      <c r="M374">
        <v>9</v>
      </c>
      <c r="N374">
        <v>3</v>
      </c>
      <c r="O374">
        <f t="shared" si="17"/>
        <v>1</v>
      </c>
    </row>
    <row r="375" spans="1:15" x14ac:dyDescent="0.3">
      <c r="A375" t="s">
        <v>15</v>
      </c>
      <c r="B375" t="s">
        <v>135</v>
      </c>
      <c r="C375" t="s">
        <v>136</v>
      </c>
      <c r="D375">
        <v>2</v>
      </c>
      <c r="E375" t="s">
        <v>37</v>
      </c>
      <c r="F375" t="s">
        <v>38</v>
      </c>
      <c r="G375">
        <v>24</v>
      </c>
      <c r="H375">
        <v>40</v>
      </c>
      <c r="I375">
        <v>64</v>
      </c>
      <c r="J375">
        <f t="shared" si="15"/>
        <v>-16</v>
      </c>
      <c r="K375" t="s">
        <v>20</v>
      </c>
      <c r="L375">
        <f t="shared" si="16"/>
        <v>1</v>
      </c>
      <c r="M375">
        <v>7</v>
      </c>
      <c r="N375">
        <v>3</v>
      </c>
      <c r="O375">
        <f t="shared" si="17"/>
        <v>1</v>
      </c>
    </row>
    <row r="376" spans="1:15" x14ac:dyDescent="0.3">
      <c r="A376" t="s">
        <v>15</v>
      </c>
      <c r="B376" t="s">
        <v>135</v>
      </c>
      <c r="C376" t="s">
        <v>136</v>
      </c>
      <c r="D376">
        <v>1</v>
      </c>
      <c r="E376" t="s">
        <v>39</v>
      </c>
      <c r="F376" t="s">
        <v>40</v>
      </c>
      <c r="G376">
        <v>85</v>
      </c>
      <c r="H376">
        <v>0</v>
      </c>
      <c r="I376">
        <v>85</v>
      </c>
      <c r="J376">
        <f t="shared" si="15"/>
        <v>0</v>
      </c>
      <c r="K376" t="s">
        <v>20</v>
      </c>
      <c r="L376">
        <f t="shared" si="16"/>
        <v>1</v>
      </c>
      <c r="M376">
        <v>9</v>
      </c>
      <c r="N376">
        <v>1</v>
      </c>
      <c r="O376">
        <f t="shared" si="17"/>
        <v>0</v>
      </c>
    </row>
    <row r="377" spans="1:15" x14ac:dyDescent="0.3">
      <c r="A377" t="s">
        <v>15</v>
      </c>
      <c r="B377" t="s">
        <v>135</v>
      </c>
      <c r="C377" t="s">
        <v>136</v>
      </c>
      <c r="D377">
        <v>1</v>
      </c>
      <c r="E377" t="s">
        <v>41</v>
      </c>
      <c r="F377" t="s">
        <v>42</v>
      </c>
      <c r="G377">
        <v>22</v>
      </c>
      <c r="H377">
        <v>32</v>
      </c>
      <c r="I377">
        <v>54</v>
      </c>
      <c r="J377">
        <f t="shared" si="15"/>
        <v>-10</v>
      </c>
      <c r="K377" t="s">
        <v>20</v>
      </c>
      <c r="L377">
        <f t="shared" si="16"/>
        <v>1</v>
      </c>
      <c r="M377">
        <v>7</v>
      </c>
      <c r="N377">
        <v>3</v>
      </c>
      <c r="O377">
        <f t="shared" si="17"/>
        <v>1</v>
      </c>
    </row>
    <row r="378" spans="1:15" x14ac:dyDescent="0.3">
      <c r="A378" t="s">
        <v>15</v>
      </c>
      <c r="B378" t="s">
        <v>135</v>
      </c>
      <c r="C378" t="s">
        <v>136</v>
      </c>
      <c r="D378">
        <v>1</v>
      </c>
      <c r="E378" t="s">
        <v>43</v>
      </c>
      <c r="F378" t="s">
        <v>44</v>
      </c>
      <c r="G378">
        <v>90</v>
      </c>
      <c r="H378">
        <v>0</v>
      </c>
      <c r="I378">
        <v>90</v>
      </c>
      <c r="J378">
        <f t="shared" si="15"/>
        <v>0</v>
      </c>
      <c r="K378" t="s">
        <v>20</v>
      </c>
      <c r="L378">
        <f t="shared" si="16"/>
        <v>1</v>
      </c>
      <c r="M378">
        <v>9</v>
      </c>
      <c r="N378">
        <v>1</v>
      </c>
      <c r="O378">
        <f t="shared" si="17"/>
        <v>0</v>
      </c>
    </row>
    <row r="379" spans="1:15" x14ac:dyDescent="0.3">
      <c r="A379" t="s">
        <v>15</v>
      </c>
      <c r="B379" t="s">
        <v>135</v>
      </c>
      <c r="C379" t="s">
        <v>136</v>
      </c>
      <c r="D379">
        <v>1</v>
      </c>
      <c r="E379" t="s">
        <v>45</v>
      </c>
      <c r="F379" t="s">
        <v>46</v>
      </c>
      <c r="G379">
        <v>27</v>
      </c>
      <c r="H379">
        <v>33</v>
      </c>
      <c r="I379">
        <v>60</v>
      </c>
      <c r="J379">
        <f t="shared" si="15"/>
        <v>-6</v>
      </c>
      <c r="K379" t="s">
        <v>20</v>
      </c>
      <c r="L379">
        <f t="shared" si="16"/>
        <v>1</v>
      </c>
      <c r="M379">
        <v>6</v>
      </c>
      <c r="N379">
        <v>1</v>
      </c>
      <c r="O379">
        <f t="shared" si="17"/>
        <v>1</v>
      </c>
    </row>
    <row r="380" spans="1:15" x14ac:dyDescent="0.3">
      <c r="A380" t="s">
        <v>15</v>
      </c>
      <c r="B380" t="s">
        <v>135</v>
      </c>
      <c r="C380" t="s">
        <v>136</v>
      </c>
      <c r="D380">
        <v>1</v>
      </c>
      <c r="E380" t="s">
        <v>83</v>
      </c>
      <c r="F380" t="s">
        <v>84</v>
      </c>
      <c r="G380">
        <v>59</v>
      </c>
      <c r="H380">
        <v>38</v>
      </c>
      <c r="I380">
        <v>97</v>
      </c>
      <c r="J380">
        <f t="shared" si="15"/>
        <v>21</v>
      </c>
      <c r="K380" t="s">
        <v>20</v>
      </c>
      <c r="L380">
        <f t="shared" si="16"/>
        <v>1</v>
      </c>
      <c r="M380">
        <v>10</v>
      </c>
      <c r="N380">
        <v>3</v>
      </c>
      <c r="O380">
        <f t="shared" si="17"/>
        <v>1</v>
      </c>
    </row>
    <row r="381" spans="1:15" x14ac:dyDescent="0.3">
      <c r="A381" t="s">
        <v>15</v>
      </c>
      <c r="B381" t="s">
        <v>135</v>
      </c>
      <c r="C381" t="s">
        <v>136</v>
      </c>
      <c r="D381">
        <v>1</v>
      </c>
      <c r="E381" t="s">
        <v>53</v>
      </c>
      <c r="F381" t="s">
        <v>54</v>
      </c>
      <c r="G381">
        <v>41</v>
      </c>
      <c r="H381">
        <v>28</v>
      </c>
      <c r="I381">
        <v>69</v>
      </c>
      <c r="J381">
        <f t="shared" si="15"/>
        <v>13</v>
      </c>
      <c r="K381" t="s">
        <v>20</v>
      </c>
      <c r="L381">
        <f t="shared" si="16"/>
        <v>1</v>
      </c>
      <c r="M381">
        <v>7</v>
      </c>
      <c r="N381">
        <v>4</v>
      </c>
      <c r="O381">
        <f t="shared" si="17"/>
        <v>1</v>
      </c>
    </row>
    <row r="382" spans="1:15" x14ac:dyDescent="0.3">
      <c r="A382" t="s">
        <v>15</v>
      </c>
      <c r="B382" t="s">
        <v>135</v>
      </c>
      <c r="C382" t="s">
        <v>136</v>
      </c>
      <c r="D382">
        <v>1</v>
      </c>
      <c r="E382" t="s">
        <v>55</v>
      </c>
      <c r="F382" t="s">
        <v>56</v>
      </c>
      <c r="G382">
        <v>35</v>
      </c>
      <c r="H382">
        <v>30</v>
      </c>
      <c r="I382">
        <v>65</v>
      </c>
      <c r="J382">
        <f t="shared" si="15"/>
        <v>5</v>
      </c>
      <c r="K382" t="s">
        <v>20</v>
      </c>
      <c r="L382">
        <f t="shared" si="16"/>
        <v>1</v>
      </c>
      <c r="M382">
        <v>7</v>
      </c>
      <c r="N382">
        <v>3</v>
      </c>
      <c r="O382">
        <f t="shared" si="17"/>
        <v>1</v>
      </c>
    </row>
    <row r="383" spans="1:15" x14ac:dyDescent="0.3">
      <c r="A383" t="s">
        <v>15</v>
      </c>
      <c r="B383" t="s">
        <v>135</v>
      </c>
      <c r="C383" t="s">
        <v>136</v>
      </c>
      <c r="D383">
        <v>1</v>
      </c>
      <c r="E383" t="s">
        <v>57</v>
      </c>
      <c r="F383" t="s">
        <v>58</v>
      </c>
      <c r="G383">
        <v>33</v>
      </c>
      <c r="H383">
        <v>27</v>
      </c>
      <c r="I383">
        <v>60</v>
      </c>
      <c r="J383">
        <f t="shared" si="15"/>
        <v>6</v>
      </c>
      <c r="K383" t="s">
        <v>20</v>
      </c>
      <c r="L383">
        <f t="shared" si="16"/>
        <v>1</v>
      </c>
      <c r="M383">
        <v>7</v>
      </c>
      <c r="N383">
        <v>4</v>
      </c>
      <c r="O383">
        <f t="shared" si="17"/>
        <v>1</v>
      </c>
    </row>
    <row r="384" spans="1:15" x14ac:dyDescent="0.3">
      <c r="A384" t="s">
        <v>15</v>
      </c>
      <c r="B384" t="s">
        <v>137</v>
      </c>
      <c r="C384" t="s">
        <v>138</v>
      </c>
      <c r="D384">
        <v>2</v>
      </c>
      <c r="E384" t="s">
        <v>18</v>
      </c>
      <c r="F384" t="s">
        <v>19</v>
      </c>
      <c r="G384">
        <v>45</v>
      </c>
      <c r="H384">
        <v>33</v>
      </c>
      <c r="I384">
        <v>78</v>
      </c>
      <c r="J384">
        <f t="shared" si="15"/>
        <v>12</v>
      </c>
      <c r="K384" t="s">
        <v>20</v>
      </c>
      <c r="L384">
        <f t="shared" si="16"/>
        <v>1</v>
      </c>
      <c r="M384">
        <v>8</v>
      </c>
      <c r="N384">
        <v>4</v>
      </c>
      <c r="O384">
        <f t="shared" si="17"/>
        <v>1</v>
      </c>
    </row>
    <row r="385" spans="1:15" x14ac:dyDescent="0.3">
      <c r="A385" t="s">
        <v>15</v>
      </c>
      <c r="B385" t="s">
        <v>137</v>
      </c>
      <c r="C385" t="s">
        <v>138</v>
      </c>
      <c r="D385">
        <v>2</v>
      </c>
      <c r="E385" t="s">
        <v>21</v>
      </c>
      <c r="F385" t="s">
        <v>22</v>
      </c>
      <c r="G385">
        <v>40</v>
      </c>
      <c r="H385">
        <v>30</v>
      </c>
      <c r="I385">
        <v>70</v>
      </c>
      <c r="J385">
        <f t="shared" si="15"/>
        <v>10</v>
      </c>
      <c r="K385" t="s">
        <v>20</v>
      </c>
      <c r="L385">
        <f t="shared" si="16"/>
        <v>1</v>
      </c>
      <c r="M385">
        <v>7</v>
      </c>
      <c r="N385">
        <v>4</v>
      </c>
      <c r="O385">
        <f t="shared" si="17"/>
        <v>1</v>
      </c>
    </row>
    <row r="386" spans="1:15" x14ac:dyDescent="0.3">
      <c r="A386" t="s">
        <v>15</v>
      </c>
      <c r="B386" t="s">
        <v>137</v>
      </c>
      <c r="C386" t="s">
        <v>138</v>
      </c>
      <c r="D386">
        <v>2</v>
      </c>
      <c r="E386" t="s">
        <v>23</v>
      </c>
      <c r="F386" t="s">
        <v>24</v>
      </c>
      <c r="G386">
        <v>79</v>
      </c>
      <c r="H386">
        <v>0</v>
      </c>
      <c r="I386">
        <v>79</v>
      </c>
      <c r="J386">
        <f t="shared" ref="J386:J449" si="18">IF(H386=0,0,G386-H386)</f>
        <v>0</v>
      </c>
      <c r="K386" t="s">
        <v>20</v>
      </c>
      <c r="L386">
        <f t="shared" ref="L386:L449" si="19">IF(K386="Pass",1,0)</f>
        <v>1</v>
      </c>
      <c r="M386">
        <v>8</v>
      </c>
      <c r="N386">
        <v>1</v>
      </c>
      <c r="O386">
        <f t="shared" ref="O386:O449" si="20">IF(H386=0,0,1)</f>
        <v>0</v>
      </c>
    </row>
    <row r="387" spans="1:15" x14ac:dyDescent="0.3">
      <c r="A387" t="s">
        <v>15</v>
      </c>
      <c r="B387" t="s">
        <v>137</v>
      </c>
      <c r="C387" t="s">
        <v>138</v>
      </c>
      <c r="D387">
        <v>2</v>
      </c>
      <c r="E387" t="s">
        <v>25</v>
      </c>
      <c r="F387" t="s">
        <v>26</v>
      </c>
      <c r="G387">
        <v>36</v>
      </c>
      <c r="H387">
        <v>32</v>
      </c>
      <c r="I387">
        <v>68</v>
      </c>
      <c r="J387">
        <f t="shared" si="18"/>
        <v>4</v>
      </c>
      <c r="K387" t="s">
        <v>20</v>
      </c>
      <c r="L387">
        <f t="shared" si="19"/>
        <v>1</v>
      </c>
      <c r="M387">
        <v>7</v>
      </c>
      <c r="N387">
        <v>1</v>
      </c>
      <c r="O387">
        <f t="shared" si="20"/>
        <v>1</v>
      </c>
    </row>
    <row r="388" spans="1:15" x14ac:dyDescent="0.3">
      <c r="A388" t="s">
        <v>15</v>
      </c>
      <c r="B388" t="s">
        <v>137</v>
      </c>
      <c r="C388" t="s">
        <v>138</v>
      </c>
      <c r="D388">
        <v>2</v>
      </c>
      <c r="E388" t="s">
        <v>61</v>
      </c>
      <c r="F388" t="s">
        <v>62</v>
      </c>
      <c r="G388">
        <v>36</v>
      </c>
      <c r="H388">
        <v>44</v>
      </c>
      <c r="I388">
        <v>80</v>
      </c>
      <c r="J388">
        <f t="shared" si="18"/>
        <v>-8</v>
      </c>
      <c r="K388" t="s">
        <v>20</v>
      </c>
      <c r="L388">
        <f t="shared" si="19"/>
        <v>1</v>
      </c>
      <c r="M388">
        <v>8</v>
      </c>
      <c r="N388">
        <v>2</v>
      </c>
      <c r="O388">
        <f t="shared" si="20"/>
        <v>1</v>
      </c>
    </row>
    <row r="389" spans="1:15" x14ac:dyDescent="0.3">
      <c r="A389" t="s">
        <v>15</v>
      </c>
      <c r="B389" t="s">
        <v>137</v>
      </c>
      <c r="C389" t="s">
        <v>138</v>
      </c>
      <c r="D389">
        <v>2</v>
      </c>
      <c r="E389" t="s">
        <v>109</v>
      </c>
      <c r="F389" t="s">
        <v>110</v>
      </c>
      <c r="G389">
        <v>92</v>
      </c>
      <c r="H389">
        <v>0</v>
      </c>
      <c r="I389">
        <v>92</v>
      </c>
      <c r="J389">
        <f t="shared" si="18"/>
        <v>0</v>
      </c>
      <c r="K389" t="s">
        <v>20</v>
      </c>
      <c r="L389">
        <f t="shared" si="19"/>
        <v>1</v>
      </c>
      <c r="M389">
        <v>10</v>
      </c>
      <c r="N389">
        <v>1</v>
      </c>
      <c r="O389">
        <f t="shared" si="20"/>
        <v>0</v>
      </c>
    </row>
    <row r="390" spans="1:15" x14ac:dyDescent="0.3">
      <c r="A390" t="s">
        <v>15</v>
      </c>
      <c r="B390" t="s">
        <v>137</v>
      </c>
      <c r="C390" t="s">
        <v>138</v>
      </c>
      <c r="D390">
        <v>2</v>
      </c>
      <c r="E390" t="s">
        <v>31</v>
      </c>
      <c r="F390" t="s">
        <v>32</v>
      </c>
      <c r="G390">
        <v>96</v>
      </c>
      <c r="H390">
        <v>0</v>
      </c>
      <c r="I390">
        <v>96</v>
      </c>
      <c r="J390">
        <f t="shared" si="18"/>
        <v>0</v>
      </c>
      <c r="K390" t="s">
        <v>20</v>
      </c>
      <c r="L390">
        <f t="shared" si="19"/>
        <v>1</v>
      </c>
      <c r="M390">
        <v>10</v>
      </c>
      <c r="N390">
        <v>1</v>
      </c>
      <c r="O390">
        <f t="shared" si="20"/>
        <v>0</v>
      </c>
    </row>
    <row r="391" spans="1:15" x14ac:dyDescent="0.3">
      <c r="A391" t="s">
        <v>15</v>
      </c>
      <c r="B391" t="s">
        <v>137</v>
      </c>
      <c r="C391" t="s">
        <v>138</v>
      </c>
      <c r="D391">
        <v>2</v>
      </c>
      <c r="E391" t="s">
        <v>33</v>
      </c>
      <c r="F391" t="s">
        <v>34</v>
      </c>
      <c r="G391">
        <v>43</v>
      </c>
      <c r="H391">
        <v>44</v>
      </c>
      <c r="I391">
        <v>87</v>
      </c>
      <c r="J391">
        <f t="shared" si="18"/>
        <v>-1</v>
      </c>
      <c r="K391" t="s">
        <v>20</v>
      </c>
      <c r="L391">
        <f t="shared" si="19"/>
        <v>1</v>
      </c>
      <c r="M391">
        <v>9</v>
      </c>
      <c r="N391">
        <v>4</v>
      </c>
      <c r="O391">
        <f t="shared" si="20"/>
        <v>1</v>
      </c>
    </row>
    <row r="392" spans="1:15" x14ac:dyDescent="0.3">
      <c r="A392" t="s">
        <v>15</v>
      </c>
      <c r="B392" t="s">
        <v>137</v>
      </c>
      <c r="C392" t="s">
        <v>138</v>
      </c>
      <c r="D392">
        <v>2</v>
      </c>
      <c r="E392" t="s">
        <v>35</v>
      </c>
      <c r="F392" t="s">
        <v>36</v>
      </c>
      <c r="G392">
        <v>32</v>
      </c>
      <c r="H392">
        <v>37</v>
      </c>
      <c r="I392">
        <v>69</v>
      </c>
      <c r="J392">
        <f t="shared" si="18"/>
        <v>-5</v>
      </c>
      <c r="K392" t="s">
        <v>20</v>
      </c>
      <c r="L392">
        <f t="shared" si="19"/>
        <v>1</v>
      </c>
      <c r="M392">
        <v>7</v>
      </c>
      <c r="N392">
        <v>3</v>
      </c>
      <c r="O392">
        <f t="shared" si="20"/>
        <v>1</v>
      </c>
    </row>
    <row r="393" spans="1:15" x14ac:dyDescent="0.3">
      <c r="A393" t="s">
        <v>15</v>
      </c>
      <c r="B393" t="s">
        <v>137</v>
      </c>
      <c r="C393" t="s">
        <v>138</v>
      </c>
      <c r="D393">
        <v>2</v>
      </c>
      <c r="E393" t="s">
        <v>37</v>
      </c>
      <c r="F393" t="s">
        <v>38</v>
      </c>
      <c r="G393">
        <v>35</v>
      </c>
      <c r="H393">
        <v>44</v>
      </c>
      <c r="I393">
        <v>79</v>
      </c>
      <c r="J393">
        <f t="shared" si="18"/>
        <v>-9</v>
      </c>
      <c r="K393" t="s">
        <v>20</v>
      </c>
      <c r="L393">
        <f t="shared" si="19"/>
        <v>1</v>
      </c>
      <c r="M393">
        <v>8</v>
      </c>
      <c r="N393">
        <v>3</v>
      </c>
      <c r="O393">
        <f t="shared" si="20"/>
        <v>1</v>
      </c>
    </row>
    <row r="394" spans="1:15" x14ac:dyDescent="0.3">
      <c r="A394" t="s">
        <v>15</v>
      </c>
      <c r="B394" t="s">
        <v>137</v>
      </c>
      <c r="C394" t="s">
        <v>138</v>
      </c>
      <c r="D394">
        <v>1</v>
      </c>
      <c r="E394" t="s">
        <v>39</v>
      </c>
      <c r="F394" t="s">
        <v>40</v>
      </c>
      <c r="G394">
        <v>90</v>
      </c>
      <c r="H394">
        <v>0</v>
      </c>
      <c r="I394">
        <v>90</v>
      </c>
      <c r="J394">
        <f t="shared" si="18"/>
        <v>0</v>
      </c>
      <c r="K394" t="s">
        <v>20</v>
      </c>
      <c r="L394">
        <f t="shared" si="19"/>
        <v>1</v>
      </c>
      <c r="M394">
        <v>9</v>
      </c>
      <c r="N394">
        <v>1</v>
      </c>
      <c r="O394">
        <f t="shared" si="20"/>
        <v>0</v>
      </c>
    </row>
    <row r="395" spans="1:15" x14ac:dyDescent="0.3">
      <c r="A395" t="s">
        <v>15</v>
      </c>
      <c r="B395" t="s">
        <v>137</v>
      </c>
      <c r="C395" t="s">
        <v>138</v>
      </c>
      <c r="D395">
        <v>1</v>
      </c>
      <c r="E395" t="s">
        <v>41</v>
      </c>
      <c r="F395" t="s">
        <v>42</v>
      </c>
      <c r="G395">
        <v>30</v>
      </c>
      <c r="H395">
        <v>37</v>
      </c>
      <c r="I395">
        <v>67</v>
      </c>
      <c r="J395">
        <f t="shared" si="18"/>
        <v>-7</v>
      </c>
      <c r="K395" t="s">
        <v>20</v>
      </c>
      <c r="L395">
        <f t="shared" si="19"/>
        <v>1</v>
      </c>
      <c r="M395">
        <v>8</v>
      </c>
      <c r="N395">
        <v>3</v>
      </c>
      <c r="O395">
        <f t="shared" si="20"/>
        <v>1</v>
      </c>
    </row>
    <row r="396" spans="1:15" x14ac:dyDescent="0.3">
      <c r="A396" t="s">
        <v>15</v>
      </c>
      <c r="B396" t="s">
        <v>137</v>
      </c>
      <c r="C396" t="s">
        <v>138</v>
      </c>
      <c r="D396">
        <v>1</v>
      </c>
      <c r="E396" t="s">
        <v>43</v>
      </c>
      <c r="F396" t="s">
        <v>44</v>
      </c>
      <c r="G396">
        <v>69</v>
      </c>
      <c r="H396">
        <v>0</v>
      </c>
      <c r="I396">
        <v>69</v>
      </c>
      <c r="J396">
        <f t="shared" si="18"/>
        <v>0</v>
      </c>
      <c r="K396" t="s">
        <v>20</v>
      </c>
      <c r="L396">
        <f t="shared" si="19"/>
        <v>1</v>
      </c>
      <c r="M396">
        <v>7</v>
      </c>
      <c r="N396">
        <v>1</v>
      </c>
      <c r="O396">
        <f t="shared" si="20"/>
        <v>0</v>
      </c>
    </row>
    <row r="397" spans="1:15" x14ac:dyDescent="0.3">
      <c r="A397" t="s">
        <v>15</v>
      </c>
      <c r="B397" t="s">
        <v>137</v>
      </c>
      <c r="C397" t="s">
        <v>138</v>
      </c>
      <c r="D397">
        <v>1</v>
      </c>
      <c r="E397" t="s">
        <v>45</v>
      </c>
      <c r="F397" t="s">
        <v>46</v>
      </c>
      <c r="G397">
        <v>31</v>
      </c>
      <c r="H397">
        <v>38</v>
      </c>
      <c r="I397">
        <v>69</v>
      </c>
      <c r="J397">
        <f t="shared" si="18"/>
        <v>-7</v>
      </c>
      <c r="K397" t="s">
        <v>20</v>
      </c>
      <c r="L397">
        <f t="shared" si="19"/>
        <v>1</v>
      </c>
      <c r="M397">
        <v>7</v>
      </c>
      <c r="N397">
        <v>1</v>
      </c>
      <c r="O397">
        <f t="shared" si="20"/>
        <v>1</v>
      </c>
    </row>
    <row r="398" spans="1:15" x14ac:dyDescent="0.3">
      <c r="A398" t="s">
        <v>15</v>
      </c>
      <c r="B398" t="s">
        <v>137</v>
      </c>
      <c r="C398" t="s">
        <v>138</v>
      </c>
      <c r="D398">
        <v>1</v>
      </c>
      <c r="E398" t="s">
        <v>71</v>
      </c>
      <c r="F398" t="s">
        <v>72</v>
      </c>
      <c r="G398">
        <v>96</v>
      </c>
      <c r="H398">
        <v>0</v>
      </c>
      <c r="I398">
        <v>96</v>
      </c>
      <c r="J398">
        <f t="shared" si="18"/>
        <v>0</v>
      </c>
      <c r="K398" t="s">
        <v>20</v>
      </c>
      <c r="L398">
        <f t="shared" si="19"/>
        <v>1</v>
      </c>
      <c r="M398">
        <v>10</v>
      </c>
      <c r="N398">
        <v>1</v>
      </c>
      <c r="O398">
        <f t="shared" si="20"/>
        <v>0</v>
      </c>
    </row>
    <row r="399" spans="1:15" x14ac:dyDescent="0.3">
      <c r="A399" t="s">
        <v>15</v>
      </c>
      <c r="B399" t="s">
        <v>137</v>
      </c>
      <c r="C399" t="s">
        <v>138</v>
      </c>
      <c r="D399">
        <v>1</v>
      </c>
      <c r="E399" t="s">
        <v>49</v>
      </c>
      <c r="F399" t="s">
        <v>50</v>
      </c>
      <c r="G399">
        <v>90</v>
      </c>
      <c r="H399">
        <v>0</v>
      </c>
      <c r="I399">
        <v>90</v>
      </c>
      <c r="J399">
        <f t="shared" si="18"/>
        <v>0</v>
      </c>
      <c r="K399" t="s">
        <v>20</v>
      </c>
      <c r="L399">
        <f t="shared" si="19"/>
        <v>1</v>
      </c>
      <c r="M399">
        <v>9</v>
      </c>
      <c r="N399">
        <v>1</v>
      </c>
      <c r="O399">
        <f t="shared" si="20"/>
        <v>0</v>
      </c>
    </row>
    <row r="400" spans="1:15" x14ac:dyDescent="0.3">
      <c r="A400" t="s">
        <v>15</v>
      </c>
      <c r="B400" t="s">
        <v>137</v>
      </c>
      <c r="C400" t="s">
        <v>138</v>
      </c>
      <c r="D400">
        <v>1</v>
      </c>
      <c r="E400" t="s">
        <v>51</v>
      </c>
      <c r="F400" t="s">
        <v>52</v>
      </c>
      <c r="G400">
        <v>91</v>
      </c>
      <c r="H400">
        <v>0</v>
      </c>
      <c r="I400">
        <v>91</v>
      </c>
      <c r="J400">
        <f t="shared" si="18"/>
        <v>0</v>
      </c>
      <c r="K400" t="s">
        <v>20</v>
      </c>
      <c r="L400">
        <f t="shared" si="19"/>
        <v>1</v>
      </c>
      <c r="M400">
        <v>10</v>
      </c>
      <c r="N400">
        <v>1</v>
      </c>
      <c r="O400">
        <f t="shared" si="20"/>
        <v>0</v>
      </c>
    </row>
    <row r="401" spans="1:15" x14ac:dyDescent="0.3">
      <c r="A401" t="s">
        <v>15</v>
      </c>
      <c r="B401" t="s">
        <v>137</v>
      </c>
      <c r="C401" t="s">
        <v>138</v>
      </c>
      <c r="D401">
        <v>1</v>
      </c>
      <c r="E401" t="s">
        <v>53</v>
      </c>
      <c r="F401" t="s">
        <v>54</v>
      </c>
      <c r="G401">
        <v>47</v>
      </c>
      <c r="H401">
        <v>43</v>
      </c>
      <c r="I401">
        <v>90</v>
      </c>
      <c r="J401">
        <f t="shared" si="18"/>
        <v>4</v>
      </c>
      <c r="K401" t="s">
        <v>20</v>
      </c>
      <c r="L401">
        <f t="shared" si="19"/>
        <v>1</v>
      </c>
      <c r="M401">
        <v>9</v>
      </c>
      <c r="N401">
        <v>4</v>
      </c>
      <c r="O401">
        <f t="shared" si="20"/>
        <v>1</v>
      </c>
    </row>
    <row r="402" spans="1:15" x14ac:dyDescent="0.3">
      <c r="A402" t="s">
        <v>15</v>
      </c>
      <c r="B402" t="s">
        <v>137</v>
      </c>
      <c r="C402" t="s">
        <v>138</v>
      </c>
      <c r="D402">
        <v>1</v>
      </c>
      <c r="E402" t="s">
        <v>55</v>
      </c>
      <c r="F402" t="s">
        <v>56</v>
      </c>
      <c r="G402">
        <v>34</v>
      </c>
      <c r="H402">
        <v>40</v>
      </c>
      <c r="I402">
        <v>74</v>
      </c>
      <c r="J402">
        <f t="shared" si="18"/>
        <v>-6</v>
      </c>
      <c r="K402" t="s">
        <v>20</v>
      </c>
      <c r="L402">
        <f t="shared" si="19"/>
        <v>1</v>
      </c>
      <c r="M402">
        <v>8</v>
      </c>
      <c r="N402">
        <v>3</v>
      </c>
      <c r="O402">
        <f t="shared" si="20"/>
        <v>1</v>
      </c>
    </row>
    <row r="403" spans="1:15" x14ac:dyDescent="0.3">
      <c r="A403" t="s">
        <v>15</v>
      </c>
      <c r="B403" t="s">
        <v>137</v>
      </c>
      <c r="C403" t="s">
        <v>138</v>
      </c>
      <c r="D403">
        <v>1</v>
      </c>
      <c r="E403" t="s">
        <v>57</v>
      </c>
      <c r="F403" t="s">
        <v>58</v>
      </c>
      <c r="G403">
        <v>40</v>
      </c>
      <c r="H403">
        <v>42</v>
      </c>
      <c r="I403">
        <v>82</v>
      </c>
      <c r="J403">
        <f t="shared" si="18"/>
        <v>-2</v>
      </c>
      <c r="K403" t="s">
        <v>20</v>
      </c>
      <c r="L403">
        <f t="shared" si="19"/>
        <v>1</v>
      </c>
      <c r="M403">
        <v>9</v>
      </c>
      <c r="N403">
        <v>4</v>
      </c>
      <c r="O403">
        <f t="shared" si="20"/>
        <v>1</v>
      </c>
    </row>
    <row r="404" spans="1:15" x14ac:dyDescent="0.3">
      <c r="A404" t="s">
        <v>15</v>
      </c>
      <c r="B404" t="s">
        <v>139</v>
      </c>
      <c r="C404" t="s">
        <v>140</v>
      </c>
      <c r="D404">
        <v>2</v>
      </c>
      <c r="E404" t="s">
        <v>21</v>
      </c>
      <c r="F404" t="s">
        <v>22</v>
      </c>
      <c r="G404">
        <v>37</v>
      </c>
      <c r="H404">
        <v>17</v>
      </c>
      <c r="I404">
        <v>54</v>
      </c>
      <c r="J404">
        <f t="shared" si="18"/>
        <v>20</v>
      </c>
      <c r="K404" t="s">
        <v>87</v>
      </c>
      <c r="L404">
        <f t="shared" si="19"/>
        <v>0</v>
      </c>
      <c r="M404">
        <v>0</v>
      </c>
      <c r="N404">
        <v>4</v>
      </c>
      <c r="O404">
        <f t="shared" si="20"/>
        <v>1</v>
      </c>
    </row>
    <row r="405" spans="1:15" x14ac:dyDescent="0.3">
      <c r="A405" t="s">
        <v>15</v>
      </c>
      <c r="B405" t="s">
        <v>139</v>
      </c>
      <c r="C405" t="s">
        <v>140</v>
      </c>
      <c r="D405">
        <v>2</v>
      </c>
      <c r="E405" t="s">
        <v>35</v>
      </c>
      <c r="F405" t="s">
        <v>36</v>
      </c>
      <c r="G405">
        <v>20</v>
      </c>
      <c r="H405">
        <v>17</v>
      </c>
      <c r="I405">
        <v>37</v>
      </c>
      <c r="J405">
        <f t="shared" si="18"/>
        <v>3</v>
      </c>
      <c r="K405" t="s">
        <v>87</v>
      </c>
      <c r="L405">
        <f t="shared" si="19"/>
        <v>0</v>
      </c>
      <c r="M405">
        <v>0</v>
      </c>
      <c r="N405">
        <v>3</v>
      </c>
      <c r="O405">
        <f t="shared" si="20"/>
        <v>1</v>
      </c>
    </row>
    <row r="406" spans="1:15" x14ac:dyDescent="0.3">
      <c r="A406" t="s">
        <v>15</v>
      </c>
      <c r="B406" t="s">
        <v>139</v>
      </c>
      <c r="C406" t="s">
        <v>140</v>
      </c>
      <c r="D406">
        <v>2</v>
      </c>
      <c r="E406" t="s">
        <v>18</v>
      </c>
      <c r="F406" t="s">
        <v>19</v>
      </c>
      <c r="G406">
        <v>42</v>
      </c>
      <c r="H406">
        <v>32</v>
      </c>
      <c r="I406">
        <v>74</v>
      </c>
      <c r="J406">
        <f t="shared" si="18"/>
        <v>10</v>
      </c>
      <c r="K406" t="s">
        <v>20</v>
      </c>
      <c r="L406">
        <f t="shared" si="19"/>
        <v>1</v>
      </c>
      <c r="M406">
        <v>8</v>
      </c>
      <c r="N406">
        <v>4</v>
      </c>
      <c r="O406">
        <f t="shared" si="20"/>
        <v>1</v>
      </c>
    </row>
    <row r="407" spans="1:15" x14ac:dyDescent="0.3">
      <c r="A407" t="s">
        <v>15</v>
      </c>
      <c r="B407" t="s">
        <v>139</v>
      </c>
      <c r="C407" t="s">
        <v>140</v>
      </c>
      <c r="D407">
        <v>2</v>
      </c>
      <c r="E407" t="s">
        <v>41</v>
      </c>
      <c r="F407" t="s">
        <v>42</v>
      </c>
      <c r="G407">
        <v>21</v>
      </c>
      <c r="H407">
        <v>38</v>
      </c>
      <c r="I407">
        <v>59</v>
      </c>
      <c r="J407">
        <f t="shared" si="18"/>
        <v>-17</v>
      </c>
      <c r="K407" t="s">
        <v>20</v>
      </c>
      <c r="L407">
        <f t="shared" si="19"/>
        <v>1</v>
      </c>
      <c r="M407">
        <v>8</v>
      </c>
      <c r="N407">
        <v>3</v>
      </c>
      <c r="O407">
        <f t="shared" si="20"/>
        <v>1</v>
      </c>
    </row>
    <row r="408" spans="1:15" x14ac:dyDescent="0.3">
      <c r="A408" t="s">
        <v>15</v>
      </c>
      <c r="B408" t="s">
        <v>139</v>
      </c>
      <c r="C408" t="s">
        <v>140</v>
      </c>
      <c r="D408">
        <v>2</v>
      </c>
      <c r="E408" t="s">
        <v>23</v>
      </c>
      <c r="F408" t="s">
        <v>24</v>
      </c>
      <c r="G408">
        <v>89</v>
      </c>
      <c r="H408">
        <v>0</v>
      </c>
      <c r="I408">
        <v>89</v>
      </c>
      <c r="J408">
        <f t="shared" si="18"/>
        <v>0</v>
      </c>
      <c r="K408" t="s">
        <v>20</v>
      </c>
      <c r="L408">
        <f t="shared" si="19"/>
        <v>1</v>
      </c>
      <c r="M408">
        <v>9</v>
      </c>
      <c r="N408">
        <v>1</v>
      </c>
      <c r="O408">
        <f t="shared" si="20"/>
        <v>0</v>
      </c>
    </row>
    <row r="409" spans="1:15" x14ac:dyDescent="0.3">
      <c r="A409" t="s">
        <v>15</v>
      </c>
      <c r="B409" t="s">
        <v>139</v>
      </c>
      <c r="C409" t="s">
        <v>140</v>
      </c>
      <c r="D409">
        <v>2</v>
      </c>
      <c r="E409" t="s">
        <v>25</v>
      </c>
      <c r="F409" t="s">
        <v>26</v>
      </c>
      <c r="G409">
        <v>35</v>
      </c>
      <c r="H409">
        <v>32</v>
      </c>
      <c r="I409">
        <v>67</v>
      </c>
      <c r="J409">
        <f t="shared" si="18"/>
        <v>3</v>
      </c>
      <c r="K409" t="s">
        <v>20</v>
      </c>
      <c r="L409">
        <f t="shared" si="19"/>
        <v>1</v>
      </c>
      <c r="M409">
        <v>7</v>
      </c>
      <c r="N409">
        <v>1</v>
      </c>
      <c r="O409">
        <f t="shared" si="20"/>
        <v>1</v>
      </c>
    </row>
    <row r="410" spans="1:15" x14ac:dyDescent="0.3">
      <c r="A410" t="s">
        <v>15</v>
      </c>
      <c r="B410" t="s">
        <v>139</v>
      </c>
      <c r="C410" t="s">
        <v>140</v>
      </c>
      <c r="D410">
        <v>2</v>
      </c>
      <c r="E410" t="s">
        <v>27</v>
      </c>
      <c r="F410" t="s">
        <v>28</v>
      </c>
      <c r="G410">
        <v>27</v>
      </c>
      <c r="H410">
        <v>39</v>
      </c>
      <c r="I410">
        <v>66</v>
      </c>
      <c r="J410">
        <f t="shared" si="18"/>
        <v>-12</v>
      </c>
      <c r="K410" t="s">
        <v>20</v>
      </c>
      <c r="L410">
        <f t="shared" si="19"/>
        <v>1</v>
      </c>
      <c r="M410">
        <v>7</v>
      </c>
      <c r="N410">
        <v>2</v>
      </c>
      <c r="O410">
        <f t="shared" si="20"/>
        <v>1</v>
      </c>
    </row>
    <row r="411" spans="1:15" x14ac:dyDescent="0.3">
      <c r="A411" t="s">
        <v>15</v>
      </c>
      <c r="B411" t="s">
        <v>139</v>
      </c>
      <c r="C411" t="s">
        <v>140</v>
      </c>
      <c r="D411">
        <v>2</v>
      </c>
      <c r="E411" t="s">
        <v>141</v>
      </c>
      <c r="F411" t="s">
        <v>142</v>
      </c>
      <c r="G411">
        <v>87</v>
      </c>
      <c r="H411">
        <v>0</v>
      </c>
      <c r="I411">
        <v>87</v>
      </c>
      <c r="J411">
        <f t="shared" si="18"/>
        <v>0</v>
      </c>
      <c r="K411" t="s">
        <v>20</v>
      </c>
      <c r="L411">
        <f t="shared" si="19"/>
        <v>1</v>
      </c>
      <c r="M411">
        <v>9</v>
      </c>
      <c r="N411">
        <v>1</v>
      </c>
      <c r="O411">
        <f t="shared" si="20"/>
        <v>0</v>
      </c>
    </row>
    <row r="412" spans="1:15" x14ac:dyDescent="0.3">
      <c r="A412" t="s">
        <v>15</v>
      </c>
      <c r="B412" t="s">
        <v>139</v>
      </c>
      <c r="C412" t="s">
        <v>140</v>
      </c>
      <c r="D412">
        <v>2</v>
      </c>
      <c r="E412" t="s">
        <v>31</v>
      </c>
      <c r="F412" t="s">
        <v>32</v>
      </c>
      <c r="G412">
        <v>96</v>
      </c>
      <c r="H412">
        <v>0</v>
      </c>
      <c r="I412">
        <v>96</v>
      </c>
      <c r="J412">
        <f t="shared" si="18"/>
        <v>0</v>
      </c>
      <c r="K412" t="s">
        <v>20</v>
      </c>
      <c r="L412">
        <f t="shared" si="19"/>
        <v>1</v>
      </c>
      <c r="M412">
        <v>10</v>
      </c>
      <c r="N412">
        <v>1</v>
      </c>
      <c r="O412">
        <f t="shared" si="20"/>
        <v>0</v>
      </c>
    </row>
    <row r="413" spans="1:15" x14ac:dyDescent="0.3">
      <c r="A413" t="s">
        <v>15</v>
      </c>
      <c r="B413" t="s">
        <v>139</v>
      </c>
      <c r="C413" t="s">
        <v>140</v>
      </c>
      <c r="D413">
        <v>2</v>
      </c>
      <c r="E413" t="s">
        <v>33</v>
      </c>
      <c r="F413" t="s">
        <v>34</v>
      </c>
      <c r="G413">
        <v>34</v>
      </c>
      <c r="H413">
        <v>23</v>
      </c>
      <c r="I413">
        <v>57</v>
      </c>
      <c r="J413">
        <f t="shared" si="18"/>
        <v>11</v>
      </c>
      <c r="K413" t="s">
        <v>20</v>
      </c>
      <c r="L413">
        <f t="shared" si="19"/>
        <v>1</v>
      </c>
      <c r="M413">
        <v>6</v>
      </c>
      <c r="N413">
        <v>4</v>
      </c>
      <c r="O413">
        <f t="shared" si="20"/>
        <v>1</v>
      </c>
    </row>
    <row r="414" spans="1:15" x14ac:dyDescent="0.3">
      <c r="A414" t="s">
        <v>15</v>
      </c>
      <c r="B414" t="s">
        <v>139</v>
      </c>
      <c r="C414" t="s">
        <v>140</v>
      </c>
      <c r="D414">
        <v>2</v>
      </c>
      <c r="E414" t="s">
        <v>37</v>
      </c>
      <c r="F414" t="s">
        <v>38</v>
      </c>
      <c r="G414">
        <v>23</v>
      </c>
      <c r="H414">
        <v>30</v>
      </c>
      <c r="I414">
        <v>53</v>
      </c>
      <c r="J414">
        <f t="shared" si="18"/>
        <v>-7</v>
      </c>
      <c r="K414" t="s">
        <v>20</v>
      </c>
      <c r="L414">
        <f t="shared" si="19"/>
        <v>1</v>
      </c>
      <c r="M414">
        <v>5</v>
      </c>
      <c r="N414">
        <v>3</v>
      </c>
      <c r="O414">
        <f t="shared" si="20"/>
        <v>1</v>
      </c>
    </row>
    <row r="415" spans="1:15" x14ac:dyDescent="0.3">
      <c r="A415" t="s">
        <v>15</v>
      </c>
      <c r="B415" t="s">
        <v>139</v>
      </c>
      <c r="C415" t="s">
        <v>140</v>
      </c>
      <c r="D415">
        <v>1</v>
      </c>
      <c r="E415" t="s">
        <v>39</v>
      </c>
      <c r="F415" t="s">
        <v>40</v>
      </c>
      <c r="G415">
        <v>91</v>
      </c>
      <c r="H415">
        <v>0</v>
      </c>
      <c r="I415">
        <v>91</v>
      </c>
      <c r="J415">
        <f t="shared" si="18"/>
        <v>0</v>
      </c>
      <c r="K415" t="s">
        <v>20</v>
      </c>
      <c r="L415">
        <f t="shared" si="19"/>
        <v>1</v>
      </c>
      <c r="M415">
        <v>10</v>
      </c>
      <c r="N415">
        <v>1</v>
      </c>
      <c r="O415">
        <f t="shared" si="20"/>
        <v>0</v>
      </c>
    </row>
    <row r="416" spans="1:15" x14ac:dyDescent="0.3">
      <c r="A416" t="s">
        <v>15</v>
      </c>
      <c r="B416" t="s">
        <v>139</v>
      </c>
      <c r="C416" t="s">
        <v>140</v>
      </c>
      <c r="D416">
        <v>1</v>
      </c>
      <c r="E416" t="s">
        <v>41</v>
      </c>
      <c r="F416" t="s">
        <v>42</v>
      </c>
      <c r="G416">
        <v>21</v>
      </c>
      <c r="H416">
        <v>11</v>
      </c>
      <c r="I416">
        <v>32</v>
      </c>
      <c r="J416">
        <f t="shared" si="18"/>
        <v>10</v>
      </c>
      <c r="K416" t="s">
        <v>87</v>
      </c>
      <c r="L416">
        <f t="shared" si="19"/>
        <v>0</v>
      </c>
      <c r="M416">
        <v>0</v>
      </c>
      <c r="N416">
        <v>3</v>
      </c>
      <c r="O416">
        <f t="shared" si="20"/>
        <v>1</v>
      </c>
    </row>
    <row r="417" spans="1:15" x14ac:dyDescent="0.3">
      <c r="A417" t="s">
        <v>15</v>
      </c>
      <c r="B417" t="s">
        <v>139</v>
      </c>
      <c r="C417" t="s">
        <v>140</v>
      </c>
      <c r="D417">
        <v>1</v>
      </c>
      <c r="E417" t="s">
        <v>43</v>
      </c>
      <c r="F417" t="s">
        <v>44</v>
      </c>
      <c r="G417">
        <v>71</v>
      </c>
      <c r="H417">
        <v>0</v>
      </c>
      <c r="I417">
        <v>71</v>
      </c>
      <c r="J417">
        <f t="shared" si="18"/>
        <v>0</v>
      </c>
      <c r="K417" t="s">
        <v>20</v>
      </c>
      <c r="L417">
        <f t="shared" si="19"/>
        <v>1</v>
      </c>
      <c r="M417">
        <v>8</v>
      </c>
      <c r="N417">
        <v>1</v>
      </c>
      <c r="O417">
        <f t="shared" si="20"/>
        <v>0</v>
      </c>
    </row>
    <row r="418" spans="1:15" x14ac:dyDescent="0.3">
      <c r="A418" t="s">
        <v>15</v>
      </c>
      <c r="B418" t="s">
        <v>139</v>
      </c>
      <c r="C418" t="s">
        <v>140</v>
      </c>
      <c r="D418">
        <v>1</v>
      </c>
      <c r="E418" t="s">
        <v>45</v>
      </c>
      <c r="F418" t="s">
        <v>46</v>
      </c>
      <c r="G418">
        <v>26</v>
      </c>
      <c r="H418">
        <v>44</v>
      </c>
      <c r="I418">
        <v>70</v>
      </c>
      <c r="J418">
        <f t="shared" si="18"/>
        <v>-18</v>
      </c>
      <c r="K418" t="s">
        <v>20</v>
      </c>
      <c r="L418">
        <f t="shared" si="19"/>
        <v>1</v>
      </c>
      <c r="M418">
        <v>7</v>
      </c>
      <c r="N418">
        <v>1</v>
      </c>
      <c r="O418">
        <f t="shared" si="20"/>
        <v>1</v>
      </c>
    </row>
    <row r="419" spans="1:15" x14ac:dyDescent="0.3">
      <c r="A419" t="s">
        <v>15</v>
      </c>
      <c r="B419" t="s">
        <v>139</v>
      </c>
      <c r="C419" t="s">
        <v>140</v>
      </c>
      <c r="D419">
        <v>1</v>
      </c>
      <c r="E419" t="s">
        <v>88</v>
      </c>
      <c r="F419" t="s">
        <v>89</v>
      </c>
      <c r="G419">
        <v>98</v>
      </c>
      <c r="H419">
        <v>0</v>
      </c>
      <c r="I419">
        <v>98</v>
      </c>
      <c r="J419">
        <f t="shared" si="18"/>
        <v>0</v>
      </c>
      <c r="K419" t="s">
        <v>20</v>
      </c>
      <c r="L419">
        <f t="shared" si="19"/>
        <v>1</v>
      </c>
      <c r="M419">
        <v>10</v>
      </c>
      <c r="N419">
        <v>1</v>
      </c>
      <c r="O419">
        <f t="shared" si="20"/>
        <v>0</v>
      </c>
    </row>
    <row r="420" spans="1:15" x14ac:dyDescent="0.3">
      <c r="A420" t="s">
        <v>15</v>
      </c>
      <c r="B420" t="s">
        <v>139</v>
      </c>
      <c r="C420" t="s">
        <v>140</v>
      </c>
      <c r="D420">
        <v>1</v>
      </c>
      <c r="E420" t="s">
        <v>49</v>
      </c>
      <c r="F420" t="s">
        <v>50</v>
      </c>
      <c r="G420">
        <v>80</v>
      </c>
      <c r="H420">
        <v>0</v>
      </c>
      <c r="I420">
        <v>80</v>
      </c>
      <c r="J420">
        <f t="shared" si="18"/>
        <v>0</v>
      </c>
      <c r="K420" t="s">
        <v>20</v>
      </c>
      <c r="L420">
        <f t="shared" si="19"/>
        <v>1</v>
      </c>
      <c r="M420">
        <v>8</v>
      </c>
      <c r="N420">
        <v>1</v>
      </c>
      <c r="O420">
        <f t="shared" si="20"/>
        <v>0</v>
      </c>
    </row>
    <row r="421" spans="1:15" x14ac:dyDescent="0.3">
      <c r="A421" t="s">
        <v>15</v>
      </c>
      <c r="B421" t="s">
        <v>139</v>
      </c>
      <c r="C421" t="s">
        <v>140</v>
      </c>
      <c r="D421">
        <v>1</v>
      </c>
      <c r="E421" t="s">
        <v>51</v>
      </c>
      <c r="F421" t="s">
        <v>52</v>
      </c>
      <c r="G421">
        <v>80</v>
      </c>
      <c r="H421">
        <v>0</v>
      </c>
      <c r="I421">
        <v>80</v>
      </c>
      <c r="J421">
        <f t="shared" si="18"/>
        <v>0</v>
      </c>
      <c r="K421" t="s">
        <v>20</v>
      </c>
      <c r="L421">
        <f t="shared" si="19"/>
        <v>1</v>
      </c>
      <c r="M421">
        <v>8</v>
      </c>
      <c r="N421">
        <v>1</v>
      </c>
      <c r="O421">
        <f t="shared" si="20"/>
        <v>0</v>
      </c>
    </row>
    <row r="422" spans="1:15" x14ac:dyDescent="0.3">
      <c r="A422" t="s">
        <v>15</v>
      </c>
      <c r="B422" t="s">
        <v>139</v>
      </c>
      <c r="C422" t="s">
        <v>140</v>
      </c>
      <c r="D422">
        <v>1</v>
      </c>
      <c r="E422" t="s">
        <v>53</v>
      </c>
      <c r="F422" t="s">
        <v>54</v>
      </c>
      <c r="G422">
        <v>38</v>
      </c>
      <c r="H422">
        <v>37</v>
      </c>
      <c r="I422">
        <v>75</v>
      </c>
      <c r="J422">
        <f t="shared" si="18"/>
        <v>1</v>
      </c>
      <c r="K422" t="s">
        <v>20</v>
      </c>
      <c r="L422">
        <f t="shared" si="19"/>
        <v>1</v>
      </c>
      <c r="M422">
        <v>8</v>
      </c>
      <c r="N422">
        <v>4</v>
      </c>
      <c r="O422">
        <f t="shared" si="20"/>
        <v>1</v>
      </c>
    </row>
    <row r="423" spans="1:15" x14ac:dyDescent="0.3">
      <c r="A423" t="s">
        <v>15</v>
      </c>
      <c r="B423" t="s">
        <v>139</v>
      </c>
      <c r="C423" t="s">
        <v>140</v>
      </c>
      <c r="D423">
        <v>1</v>
      </c>
      <c r="E423" t="s">
        <v>55</v>
      </c>
      <c r="F423" t="s">
        <v>56</v>
      </c>
      <c r="G423">
        <v>34</v>
      </c>
      <c r="H423">
        <v>41</v>
      </c>
      <c r="I423">
        <v>75</v>
      </c>
      <c r="J423">
        <f t="shared" si="18"/>
        <v>-7</v>
      </c>
      <c r="K423" t="s">
        <v>20</v>
      </c>
      <c r="L423">
        <f t="shared" si="19"/>
        <v>1</v>
      </c>
      <c r="M423">
        <v>8</v>
      </c>
      <c r="N423">
        <v>3</v>
      </c>
      <c r="O423">
        <f t="shared" si="20"/>
        <v>1</v>
      </c>
    </row>
    <row r="424" spans="1:15" x14ac:dyDescent="0.3">
      <c r="A424" t="s">
        <v>15</v>
      </c>
      <c r="B424" t="s">
        <v>139</v>
      </c>
      <c r="C424" t="s">
        <v>140</v>
      </c>
      <c r="D424">
        <v>1</v>
      </c>
      <c r="E424" t="s">
        <v>57</v>
      </c>
      <c r="F424" t="s">
        <v>58</v>
      </c>
      <c r="G424">
        <v>34</v>
      </c>
      <c r="H424">
        <v>31</v>
      </c>
      <c r="I424">
        <v>65</v>
      </c>
      <c r="J424">
        <f t="shared" si="18"/>
        <v>3</v>
      </c>
      <c r="K424" t="s">
        <v>20</v>
      </c>
      <c r="L424">
        <f t="shared" si="19"/>
        <v>1</v>
      </c>
      <c r="M424">
        <v>7</v>
      </c>
      <c r="N424">
        <v>4</v>
      </c>
      <c r="O424">
        <f t="shared" si="20"/>
        <v>1</v>
      </c>
    </row>
    <row r="425" spans="1:15" x14ac:dyDescent="0.3">
      <c r="A425" t="s">
        <v>15</v>
      </c>
      <c r="B425" t="s">
        <v>143</v>
      </c>
      <c r="C425" t="s">
        <v>144</v>
      </c>
      <c r="D425">
        <v>2</v>
      </c>
      <c r="E425" t="s">
        <v>18</v>
      </c>
      <c r="F425" t="s">
        <v>19</v>
      </c>
      <c r="G425">
        <v>43</v>
      </c>
      <c r="H425">
        <v>31</v>
      </c>
      <c r="I425">
        <v>74</v>
      </c>
      <c r="J425">
        <f t="shared" si="18"/>
        <v>12</v>
      </c>
      <c r="K425" t="s">
        <v>20</v>
      </c>
      <c r="L425">
        <f t="shared" si="19"/>
        <v>1</v>
      </c>
      <c r="M425">
        <v>8</v>
      </c>
      <c r="N425">
        <v>4</v>
      </c>
      <c r="O425">
        <f t="shared" si="20"/>
        <v>1</v>
      </c>
    </row>
    <row r="426" spans="1:15" x14ac:dyDescent="0.3">
      <c r="A426" t="s">
        <v>15</v>
      </c>
      <c r="B426" t="s">
        <v>143</v>
      </c>
      <c r="C426" t="s">
        <v>144</v>
      </c>
      <c r="D426">
        <v>2</v>
      </c>
      <c r="E426" t="s">
        <v>21</v>
      </c>
      <c r="F426" t="s">
        <v>22</v>
      </c>
      <c r="G426">
        <v>41</v>
      </c>
      <c r="H426">
        <v>30</v>
      </c>
      <c r="I426">
        <v>71</v>
      </c>
      <c r="J426">
        <f t="shared" si="18"/>
        <v>11</v>
      </c>
      <c r="K426" t="s">
        <v>20</v>
      </c>
      <c r="L426">
        <f t="shared" si="19"/>
        <v>1</v>
      </c>
      <c r="M426">
        <v>7</v>
      </c>
      <c r="N426">
        <v>4</v>
      </c>
      <c r="O426">
        <f t="shared" si="20"/>
        <v>1</v>
      </c>
    </row>
    <row r="427" spans="1:15" x14ac:dyDescent="0.3">
      <c r="A427" t="s">
        <v>15</v>
      </c>
      <c r="B427" t="s">
        <v>143</v>
      </c>
      <c r="C427" t="s">
        <v>144</v>
      </c>
      <c r="D427">
        <v>2</v>
      </c>
      <c r="E427" t="s">
        <v>23</v>
      </c>
      <c r="F427" t="s">
        <v>24</v>
      </c>
      <c r="G427">
        <v>85</v>
      </c>
      <c r="H427">
        <v>0</v>
      </c>
      <c r="I427">
        <v>85</v>
      </c>
      <c r="J427">
        <f t="shared" si="18"/>
        <v>0</v>
      </c>
      <c r="K427" t="s">
        <v>20</v>
      </c>
      <c r="L427">
        <f t="shared" si="19"/>
        <v>1</v>
      </c>
      <c r="M427">
        <v>9</v>
      </c>
      <c r="N427">
        <v>1</v>
      </c>
      <c r="O427">
        <f t="shared" si="20"/>
        <v>0</v>
      </c>
    </row>
    <row r="428" spans="1:15" x14ac:dyDescent="0.3">
      <c r="A428" t="s">
        <v>15</v>
      </c>
      <c r="B428" t="s">
        <v>143</v>
      </c>
      <c r="C428" t="s">
        <v>144</v>
      </c>
      <c r="D428">
        <v>2</v>
      </c>
      <c r="E428" t="s">
        <v>25</v>
      </c>
      <c r="F428" t="s">
        <v>26</v>
      </c>
      <c r="G428">
        <v>39</v>
      </c>
      <c r="H428">
        <v>38</v>
      </c>
      <c r="I428">
        <v>77</v>
      </c>
      <c r="J428">
        <f t="shared" si="18"/>
        <v>1</v>
      </c>
      <c r="K428" t="s">
        <v>20</v>
      </c>
      <c r="L428">
        <f t="shared" si="19"/>
        <v>1</v>
      </c>
      <c r="M428">
        <v>8</v>
      </c>
      <c r="N428">
        <v>1</v>
      </c>
      <c r="O428">
        <f t="shared" si="20"/>
        <v>1</v>
      </c>
    </row>
    <row r="429" spans="1:15" x14ac:dyDescent="0.3">
      <c r="A429" t="s">
        <v>15</v>
      </c>
      <c r="B429" t="s">
        <v>143</v>
      </c>
      <c r="C429" t="s">
        <v>144</v>
      </c>
      <c r="D429">
        <v>2</v>
      </c>
      <c r="E429" t="s">
        <v>61</v>
      </c>
      <c r="F429" t="s">
        <v>62</v>
      </c>
      <c r="G429">
        <v>31</v>
      </c>
      <c r="H429">
        <v>46</v>
      </c>
      <c r="I429">
        <v>77</v>
      </c>
      <c r="J429">
        <f t="shared" si="18"/>
        <v>-15</v>
      </c>
      <c r="K429" t="s">
        <v>20</v>
      </c>
      <c r="L429">
        <f t="shared" si="19"/>
        <v>1</v>
      </c>
      <c r="M429">
        <v>8</v>
      </c>
      <c r="N429">
        <v>2</v>
      </c>
      <c r="O429">
        <f t="shared" si="20"/>
        <v>1</v>
      </c>
    </row>
    <row r="430" spans="1:15" x14ac:dyDescent="0.3">
      <c r="A430" t="s">
        <v>15</v>
      </c>
      <c r="B430" t="s">
        <v>143</v>
      </c>
      <c r="C430" t="s">
        <v>144</v>
      </c>
      <c r="D430">
        <v>2</v>
      </c>
      <c r="E430" t="s">
        <v>92</v>
      </c>
      <c r="F430" t="s">
        <v>93</v>
      </c>
      <c r="G430">
        <v>87</v>
      </c>
      <c r="H430">
        <v>0</v>
      </c>
      <c r="I430">
        <v>87</v>
      </c>
      <c r="J430">
        <f t="shared" si="18"/>
        <v>0</v>
      </c>
      <c r="K430" t="s">
        <v>20</v>
      </c>
      <c r="L430">
        <f t="shared" si="19"/>
        <v>1</v>
      </c>
      <c r="M430">
        <v>9</v>
      </c>
      <c r="N430">
        <v>1</v>
      </c>
      <c r="O430">
        <f t="shared" si="20"/>
        <v>0</v>
      </c>
    </row>
    <row r="431" spans="1:15" x14ac:dyDescent="0.3">
      <c r="A431" t="s">
        <v>15</v>
      </c>
      <c r="B431" t="s">
        <v>143</v>
      </c>
      <c r="C431" t="s">
        <v>144</v>
      </c>
      <c r="D431">
        <v>2</v>
      </c>
      <c r="E431" t="s">
        <v>31</v>
      </c>
      <c r="F431" t="s">
        <v>32</v>
      </c>
      <c r="G431">
        <v>96</v>
      </c>
      <c r="H431">
        <v>0</v>
      </c>
      <c r="I431">
        <v>96</v>
      </c>
      <c r="J431">
        <f t="shared" si="18"/>
        <v>0</v>
      </c>
      <c r="K431" t="s">
        <v>20</v>
      </c>
      <c r="L431">
        <f t="shared" si="19"/>
        <v>1</v>
      </c>
      <c r="M431">
        <v>10</v>
      </c>
      <c r="N431">
        <v>1</v>
      </c>
      <c r="O431">
        <f t="shared" si="20"/>
        <v>0</v>
      </c>
    </row>
    <row r="432" spans="1:15" x14ac:dyDescent="0.3">
      <c r="A432" t="s">
        <v>15</v>
      </c>
      <c r="B432" t="s">
        <v>143</v>
      </c>
      <c r="C432" t="s">
        <v>144</v>
      </c>
      <c r="D432">
        <v>2</v>
      </c>
      <c r="E432" t="s">
        <v>33</v>
      </c>
      <c r="F432" t="s">
        <v>34</v>
      </c>
      <c r="G432">
        <v>36</v>
      </c>
      <c r="H432">
        <v>26</v>
      </c>
      <c r="I432">
        <v>62</v>
      </c>
      <c r="J432">
        <f t="shared" si="18"/>
        <v>10</v>
      </c>
      <c r="K432" t="s">
        <v>20</v>
      </c>
      <c r="L432">
        <f t="shared" si="19"/>
        <v>1</v>
      </c>
      <c r="M432">
        <v>7</v>
      </c>
      <c r="N432">
        <v>4</v>
      </c>
      <c r="O432">
        <f t="shared" si="20"/>
        <v>1</v>
      </c>
    </row>
    <row r="433" spans="1:15" x14ac:dyDescent="0.3">
      <c r="A433" t="s">
        <v>15</v>
      </c>
      <c r="B433" t="s">
        <v>143</v>
      </c>
      <c r="C433" t="s">
        <v>144</v>
      </c>
      <c r="D433">
        <v>2</v>
      </c>
      <c r="E433" t="s">
        <v>35</v>
      </c>
      <c r="F433" t="s">
        <v>36</v>
      </c>
      <c r="G433">
        <v>23</v>
      </c>
      <c r="H433">
        <v>52</v>
      </c>
      <c r="I433">
        <v>75</v>
      </c>
      <c r="J433">
        <f t="shared" si="18"/>
        <v>-29</v>
      </c>
      <c r="K433" t="s">
        <v>20</v>
      </c>
      <c r="L433">
        <f t="shared" si="19"/>
        <v>1</v>
      </c>
      <c r="M433">
        <v>8</v>
      </c>
      <c r="N433">
        <v>3</v>
      </c>
      <c r="O433">
        <f t="shared" si="20"/>
        <v>1</v>
      </c>
    </row>
    <row r="434" spans="1:15" x14ac:dyDescent="0.3">
      <c r="A434" t="s">
        <v>15</v>
      </c>
      <c r="B434" t="s">
        <v>143</v>
      </c>
      <c r="C434" t="s">
        <v>144</v>
      </c>
      <c r="D434">
        <v>2</v>
      </c>
      <c r="E434" t="s">
        <v>37</v>
      </c>
      <c r="F434" t="s">
        <v>38</v>
      </c>
      <c r="G434">
        <v>29</v>
      </c>
      <c r="H434">
        <v>53</v>
      </c>
      <c r="I434">
        <v>82</v>
      </c>
      <c r="J434">
        <f t="shared" si="18"/>
        <v>-24</v>
      </c>
      <c r="K434" t="s">
        <v>20</v>
      </c>
      <c r="L434">
        <f t="shared" si="19"/>
        <v>1</v>
      </c>
      <c r="M434">
        <v>8</v>
      </c>
      <c r="N434">
        <v>3</v>
      </c>
      <c r="O434">
        <f t="shared" si="20"/>
        <v>1</v>
      </c>
    </row>
    <row r="435" spans="1:15" x14ac:dyDescent="0.3">
      <c r="A435" t="s">
        <v>15</v>
      </c>
      <c r="B435" t="s">
        <v>143</v>
      </c>
      <c r="C435" t="s">
        <v>144</v>
      </c>
      <c r="D435">
        <v>1</v>
      </c>
      <c r="E435" t="s">
        <v>39</v>
      </c>
      <c r="F435" t="s">
        <v>40</v>
      </c>
      <c r="G435">
        <v>92</v>
      </c>
      <c r="H435">
        <v>0</v>
      </c>
      <c r="I435">
        <v>92</v>
      </c>
      <c r="J435">
        <f t="shared" si="18"/>
        <v>0</v>
      </c>
      <c r="K435" t="s">
        <v>20</v>
      </c>
      <c r="L435">
        <f t="shared" si="19"/>
        <v>1</v>
      </c>
      <c r="M435">
        <v>10</v>
      </c>
      <c r="N435">
        <v>1</v>
      </c>
      <c r="O435">
        <f t="shared" si="20"/>
        <v>0</v>
      </c>
    </row>
    <row r="436" spans="1:15" x14ac:dyDescent="0.3">
      <c r="A436" t="s">
        <v>15</v>
      </c>
      <c r="B436" t="s">
        <v>143</v>
      </c>
      <c r="C436" t="s">
        <v>144</v>
      </c>
      <c r="D436">
        <v>1</v>
      </c>
      <c r="E436" t="s">
        <v>41</v>
      </c>
      <c r="F436" t="s">
        <v>42</v>
      </c>
      <c r="G436">
        <v>25</v>
      </c>
      <c r="H436">
        <v>44</v>
      </c>
      <c r="I436">
        <v>69</v>
      </c>
      <c r="J436">
        <f t="shared" si="18"/>
        <v>-19</v>
      </c>
      <c r="K436" t="s">
        <v>20</v>
      </c>
      <c r="L436">
        <f t="shared" si="19"/>
        <v>1</v>
      </c>
      <c r="M436">
        <v>9</v>
      </c>
      <c r="N436">
        <v>3</v>
      </c>
      <c r="O436">
        <f t="shared" si="20"/>
        <v>1</v>
      </c>
    </row>
    <row r="437" spans="1:15" x14ac:dyDescent="0.3">
      <c r="A437" t="s">
        <v>15</v>
      </c>
      <c r="B437" t="s">
        <v>143</v>
      </c>
      <c r="C437" t="s">
        <v>144</v>
      </c>
      <c r="D437">
        <v>1</v>
      </c>
      <c r="E437" t="s">
        <v>43</v>
      </c>
      <c r="F437" t="s">
        <v>44</v>
      </c>
      <c r="G437">
        <v>53</v>
      </c>
      <c r="H437">
        <v>0</v>
      </c>
      <c r="I437">
        <v>53</v>
      </c>
      <c r="J437">
        <f t="shared" si="18"/>
        <v>0</v>
      </c>
      <c r="K437" t="s">
        <v>20</v>
      </c>
      <c r="L437">
        <f t="shared" si="19"/>
        <v>1</v>
      </c>
      <c r="M437">
        <v>5</v>
      </c>
      <c r="N437">
        <v>1</v>
      </c>
      <c r="O437">
        <f t="shared" si="20"/>
        <v>0</v>
      </c>
    </row>
    <row r="438" spans="1:15" x14ac:dyDescent="0.3">
      <c r="A438" t="s">
        <v>15</v>
      </c>
      <c r="B438" t="s">
        <v>143</v>
      </c>
      <c r="C438" t="s">
        <v>144</v>
      </c>
      <c r="D438">
        <v>1</v>
      </c>
      <c r="E438" t="s">
        <v>45</v>
      </c>
      <c r="F438" t="s">
        <v>46</v>
      </c>
      <c r="G438">
        <v>25</v>
      </c>
      <c r="H438">
        <v>33</v>
      </c>
      <c r="I438">
        <v>58</v>
      </c>
      <c r="J438">
        <f t="shared" si="18"/>
        <v>-8</v>
      </c>
      <c r="K438" t="s">
        <v>20</v>
      </c>
      <c r="L438">
        <f t="shared" si="19"/>
        <v>1</v>
      </c>
      <c r="M438">
        <v>6</v>
      </c>
      <c r="N438">
        <v>1</v>
      </c>
      <c r="O438">
        <f t="shared" si="20"/>
        <v>1</v>
      </c>
    </row>
    <row r="439" spans="1:15" x14ac:dyDescent="0.3">
      <c r="A439" t="s">
        <v>15</v>
      </c>
      <c r="B439" t="s">
        <v>143</v>
      </c>
      <c r="C439" t="s">
        <v>144</v>
      </c>
      <c r="D439">
        <v>1</v>
      </c>
      <c r="E439" t="s">
        <v>145</v>
      </c>
      <c r="F439" t="s">
        <v>146</v>
      </c>
      <c r="G439">
        <v>85</v>
      </c>
      <c r="H439">
        <v>0</v>
      </c>
      <c r="I439">
        <v>85</v>
      </c>
      <c r="J439">
        <f t="shared" si="18"/>
        <v>0</v>
      </c>
      <c r="K439" t="s">
        <v>20</v>
      </c>
      <c r="L439">
        <f t="shared" si="19"/>
        <v>1</v>
      </c>
      <c r="M439">
        <v>9</v>
      </c>
      <c r="N439">
        <v>1</v>
      </c>
      <c r="O439">
        <f t="shared" si="20"/>
        <v>0</v>
      </c>
    </row>
    <row r="440" spans="1:15" x14ac:dyDescent="0.3">
      <c r="A440" t="s">
        <v>15</v>
      </c>
      <c r="B440" t="s">
        <v>143</v>
      </c>
      <c r="C440" t="s">
        <v>144</v>
      </c>
      <c r="D440">
        <v>1</v>
      </c>
      <c r="E440" t="s">
        <v>49</v>
      </c>
      <c r="F440" t="s">
        <v>50</v>
      </c>
      <c r="G440">
        <v>80</v>
      </c>
      <c r="H440">
        <v>0</v>
      </c>
      <c r="I440">
        <v>80</v>
      </c>
      <c r="J440">
        <f t="shared" si="18"/>
        <v>0</v>
      </c>
      <c r="K440" t="s">
        <v>20</v>
      </c>
      <c r="L440">
        <f t="shared" si="19"/>
        <v>1</v>
      </c>
      <c r="M440">
        <v>8</v>
      </c>
      <c r="N440">
        <v>1</v>
      </c>
      <c r="O440">
        <f t="shared" si="20"/>
        <v>0</v>
      </c>
    </row>
    <row r="441" spans="1:15" x14ac:dyDescent="0.3">
      <c r="A441" t="s">
        <v>15</v>
      </c>
      <c r="B441" t="s">
        <v>143</v>
      </c>
      <c r="C441" t="s">
        <v>144</v>
      </c>
      <c r="D441">
        <v>1</v>
      </c>
      <c r="E441" t="s">
        <v>51</v>
      </c>
      <c r="F441" t="s">
        <v>52</v>
      </c>
      <c r="G441">
        <v>87</v>
      </c>
      <c r="H441">
        <v>0</v>
      </c>
      <c r="I441">
        <v>87</v>
      </c>
      <c r="J441">
        <f t="shared" si="18"/>
        <v>0</v>
      </c>
      <c r="K441" t="s">
        <v>20</v>
      </c>
      <c r="L441">
        <f t="shared" si="19"/>
        <v>1</v>
      </c>
      <c r="M441">
        <v>9</v>
      </c>
      <c r="N441">
        <v>1</v>
      </c>
      <c r="O441">
        <f t="shared" si="20"/>
        <v>0</v>
      </c>
    </row>
    <row r="442" spans="1:15" x14ac:dyDescent="0.3">
      <c r="A442" t="s">
        <v>15</v>
      </c>
      <c r="B442" t="s">
        <v>143</v>
      </c>
      <c r="C442" t="s">
        <v>144</v>
      </c>
      <c r="D442">
        <v>1</v>
      </c>
      <c r="E442" t="s">
        <v>53</v>
      </c>
      <c r="F442" t="s">
        <v>54</v>
      </c>
      <c r="G442">
        <v>39</v>
      </c>
      <c r="H442">
        <v>43</v>
      </c>
      <c r="I442">
        <v>82</v>
      </c>
      <c r="J442">
        <f t="shared" si="18"/>
        <v>-4</v>
      </c>
      <c r="K442" t="s">
        <v>20</v>
      </c>
      <c r="L442">
        <f t="shared" si="19"/>
        <v>1</v>
      </c>
      <c r="M442">
        <v>8</v>
      </c>
      <c r="N442">
        <v>4</v>
      </c>
      <c r="O442">
        <f t="shared" si="20"/>
        <v>1</v>
      </c>
    </row>
    <row r="443" spans="1:15" x14ac:dyDescent="0.3">
      <c r="A443" t="s">
        <v>15</v>
      </c>
      <c r="B443" t="s">
        <v>143</v>
      </c>
      <c r="C443" t="s">
        <v>144</v>
      </c>
      <c r="D443">
        <v>1</v>
      </c>
      <c r="E443" t="s">
        <v>55</v>
      </c>
      <c r="F443" t="s">
        <v>56</v>
      </c>
      <c r="G443">
        <v>35</v>
      </c>
      <c r="H443">
        <v>40</v>
      </c>
      <c r="I443">
        <v>75</v>
      </c>
      <c r="J443">
        <f t="shared" si="18"/>
        <v>-5</v>
      </c>
      <c r="K443" t="s">
        <v>20</v>
      </c>
      <c r="L443">
        <f t="shared" si="19"/>
        <v>1</v>
      </c>
      <c r="M443">
        <v>8</v>
      </c>
      <c r="N443">
        <v>3</v>
      </c>
      <c r="O443">
        <f t="shared" si="20"/>
        <v>1</v>
      </c>
    </row>
    <row r="444" spans="1:15" x14ac:dyDescent="0.3">
      <c r="A444" t="s">
        <v>15</v>
      </c>
      <c r="B444" t="s">
        <v>143</v>
      </c>
      <c r="C444" t="s">
        <v>144</v>
      </c>
      <c r="D444">
        <v>1</v>
      </c>
      <c r="E444" t="s">
        <v>57</v>
      </c>
      <c r="F444" t="s">
        <v>58</v>
      </c>
      <c r="G444">
        <v>36</v>
      </c>
      <c r="H444">
        <v>37</v>
      </c>
      <c r="I444">
        <v>73</v>
      </c>
      <c r="J444">
        <f t="shared" si="18"/>
        <v>-1</v>
      </c>
      <c r="K444" t="s">
        <v>20</v>
      </c>
      <c r="L444">
        <f t="shared" si="19"/>
        <v>1</v>
      </c>
      <c r="M444">
        <v>8</v>
      </c>
      <c r="N444">
        <v>4</v>
      </c>
      <c r="O444">
        <f t="shared" si="20"/>
        <v>1</v>
      </c>
    </row>
    <row r="445" spans="1:15" x14ac:dyDescent="0.3">
      <c r="A445" t="s">
        <v>15</v>
      </c>
      <c r="B445" t="s">
        <v>147</v>
      </c>
      <c r="C445" t="s">
        <v>148</v>
      </c>
      <c r="D445">
        <v>2</v>
      </c>
      <c r="E445" t="s">
        <v>21</v>
      </c>
      <c r="F445" t="s">
        <v>22</v>
      </c>
      <c r="G445">
        <v>39</v>
      </c>
      <c r="H445">
        <v>20</v>
      </c>
      <c r="I445">
        <v>59</v>
      </c>
      <c r="J445">
        <f t="shared" si="18"/>
        <v>19</v>
      </c>
      <c r="K445" t="s">
        <v>87</v>
      </c>
      <c r="L445">
        <f t="shared" si="19"/>
        <v>0</v>
      </c>
      <c r="M445">
        <v>0</v>
      </c>
      <c r="N445">
        <v>4</v>
      </c>
      <c r="O445">
        <f t="shared" si="20"/>
        <v>1</v>
      </c>
    </row>
    <row r="446" spans="1:15" x14ac:dyDescent="0.3">
      <c r="A446" t="s">
        <v>15</v>
      </c>
      <c r="B446" t="s">
        <v>147</v>
      </c>
      <c r="C446" t="s">
        <v>148</v>
      </c>
      <c r="D446">
        <v>2</v>
      </c>
      <c r="E446" t="s">
        <v>27</v>
      </c>
      <c r="F446" t="s">
        <v>28</v>
      </c>
      <c r="G446">
        <v>24</v>
      </c>
      <c r="H446">
        <v>20</v>
      </c>
      <c r="I446">
        <v>44</v>
      </c>
      <c r="J446">
        <f t="shared" si="18"/>
        <v>4</v>
      </c>
      <c r="K446" t="s">
        <v>87</v>
      </c>
      <c r="L446">
        <f t="shared" si="19"/>
        <v>0</v>
      </c>
      <c r="M446">
        <v>0</v>
      </c>
      <c r="N446">
        <v>2</v>
      </c>
      <c r="O446">
        <f t="shared" si="20"/>
        <v>1</v>
      </c>
    </row>
    <row r="447" spans="1:15" x14ac:dyDescent="0.3">
      <c r="A447" t="s">
        <v>15</v>
      </c>
      <c r="B447" t="s">
        <v>147</v>
      </c>
      <c r="C447" t="s">
        <v>148</v>
      </c>
      <c r="D447">
        <v>2</v>
      </c>
      <c r="E447" t="s">
        <v>18</v>
      </c>
      <c r="F447" t="s">
        <v>19</v>
      </c>
      <c r="G447">
        <v>40</v>
      </c>
      <c r="H447">
        <v>23</v>
      </c>
      <c r="I447">
        <v>63</v>
      </c>
      <c r="J447">
        <f t="shared" si="18"/>
        <v>17</v>
      </c>
      <c r="K447" t="s">
        <v>20</v>
      </c>
      <c r="L447">
        <f t="shared" si="19"/>
        <v>1</v>
      </c>
      <c r="M447">
        <v>7</v>
      </c>
      <c r="N447">
        <v>4</v>
      </c>
      <c r="O447">
        <f t="shared" si="20"/>
        <v>1</v>
      </c>
    </row>
    <row r="448" spans="1:15" x14ac:dyDescent="0.3">
      <c r="A448" t="s">
        <v>15</v>
      </c>
      <c r="B448" t="s">
        <v>147</v>
      </c>
      <c r="C448" t="s">
        <v>148</v>
      </c>
      <c r="D448">
        <v>2</v>
      </c>
      <c r="E448" t="s">
        <v>23</v>
      </c>
      <c r="F448" t="s">
        <v>24</v>
      </c>
      <c r="G448">
        <v>76</v>
      </c>
      <c r="H448">
        <v>0</v>
      </c>
      <c r="I448">
        <v>76</v>
      </c>
      <c r="J448">
        <f t="shared" si="18"/>
        <v>0</v>
      </c>
      <c r="K448" t="s">
        <v>20</v>
      </c>
      <c r="L448">
        <f t="shared" si="19"/>
        <v>1</v>
      </c>
      <c r="M448">
        <v>8</v>
      </c>
      <c r="N448">
        <v>1</v>
      </c>
      <c r="O448">
        <f t="shared" si="20"/>
        <v>0</v>
      </c>
    </row>
    <row r="449" spans="1:15" x14ac:dyDescent="0.3">
      <c r="A449" t="s">
        <v>15</v>
      </c>
      <c r="B449" t="s">
        <v>147</v>
      </c>
      <c r="C449" t="s">
        <v>148</v>
      </c>
      <c r="D449">
        <v>2</v>
      </c>
      <c r="E449" t="s">
        <v>25</v>
      </c>
      <c r="F449" t="s">
        <v>26</v>
      </c>
      <c r="G449">
        <v>31</v>
      </c>
      <c r="H449">
        <v>27</v>
      </c>
      <c r="I449">
        <v>58</v>
      </c>
      <c r="J449">
        <f t="shared" si="18"/>
        <v>4</v>
      </c>
      <c r="K449" t="s">
        <v>20</v>
      </c>
      <c r="L449">
        <f t="shared" si="19"/>
        <v>1</v>
      </c>
      <c r="M449">
        <v>6</v>
      </c>
      <c r="N449">
        <v>1</v>
      </c>
      <c r="O449">
        <f t="shared" si="20"/>
        <v>1</v>
      </c>
    </row>
    <row r="450" spans="1:15" x14ac:dyDescent="0.3">
      <c r="A450" t="s">
        <v>15</v>
      </c>
      <c r="B450" t="s">
        <v>147</v>
      </c>
      <c r="C450" t="s">
        <v>148</v>
      </c>
      <c r="D450">
        <v>2</v>
      </c>
      <c r="E450" t="s">
        <v>105</v>
      </c>
      <c r="F450" t="s">
        <v>106</v>
      </c>
      <c r="G450">
        <v>85</v>
      </c>
      <c r="H450">
        <v>0</v>
      </c>
      <c r="I450">
        <v>85</v>
      </c>
      <c r="J450">
        <f t="shared" ref="J450:J513" si="21">IF(H450=0,0,G450-H450)</f>
        <v>0</v>
      </c>
      <c r="K450" t="s">
        <v>20</v>
      </c>
      <c r="L450">
        <f t="shared" ref="L450:L513" si="22">IF(K450="Pass",1,0)</f>
        <v>1</v>
      </c>
      <c r="M450">
        <v>9</v>
      </c>
      <c r="N450">
        <v>1</v>
      </c>
      <c r="O450">
        <f t="shared" ref="O450:O513" si="23">IF(H450=0,0,1)</f>
        <v>0</v>
      </c>
    </row>
    <row r="451" spans="1:15" x14ac:dyDescent="0.3">
      <c r="A451" t="s">
        <v>15</v>
      </c>
      <c r="B451" t="s">
        <v>147</v>
      </c>
      <c r="C451" t="s">
        <v>148</v>
      </c>
      <c r="D451">
        <v>2</v>
      </c>
      <c r="E451" t="s">
        <v>31</v>
      </c>
      <c r="F451" t="s">
        <v>32</v>
      </c>
      <c r="G451">
        <v>94</v>
      </c>
      <c r="H451">
        <v>0</v>
      </c>
      <c r="I451">
        <v>94</v>
      </c>
      <c r="J451">
        <f t="shared" si="21"/>
        <v>0</v>
      </c>
      <c r="K451" t="s">
        <v>20</v>
      </c>
      <c r="L451">
        <f t="shared" si="22"/>
        <v>1</v>
      </c>
      <c r="M451">
        <v>10</v>
      </c>
      <c r="N451">
        <v>1</v>
      </c>
      <c r="O451">
        <f t="shared" si="23"/>
        <v>0</v>
      </c>
    </row>
    <row r="452" spans="1:15" x14ac:dyDescent="0.3">
      <c r="A452" t="s">
        <v>15</v>
      </c>
      <c r="B452" t="s">
        <v>147</v>
      </c>
      <c r="C452" t="s">
        <v>148</v>
      </c>
      <c r="D452">
        <v>2</v>
      </c>
      <c r="E452" t="s">
        <v>33</v>
      </c>
      <c r="F452" t="s">
        <v>34</v>
      </c>
      <c r="G452">
        <v>35</v>
      </c>
      <c r="H452">
        <v>25</v>
      </c>
      <c r="I452">
        <v>60</v>
      </c>
      <c r="J452">
        <f t="shared" si="21"/>
        <v>10</v>
      </c>
      <c r="K452" t="s">
        <v>20</v>
      </c>
      <c r="L452">
        <f t="shared" si="22"/>
        <v>1</v>
      </c>
      <c r="M452">
        <v>7</v>
      </c>
      <c r="N452">
        <v>4</v>
      </c>
      <c r="O452">
        <f t="shared" si="23"/>
        <v>1</v>
      </c>
    </row>
    <row r="453" spans="1:15" x14ac:dyDescent="0.3">
      <c r="A453" t="s">
        <v>15</v>
      </c>
      <c r="B453" t="s">
        <v>147</v>
      </c>
      <c r="C453" t="s">
        <v>148</v>
      </c>
      <c r="D453">
        <v>2</v>
      </c>
      <c r="E453" t="s">
        <v>35</v>
      </c>
      <c r="F453" t="s">
        <v>36</v>
      </c>
      <c r="G453">
        <v>22</v>
      </c>
      <c r="H453">
        <v>31</v>
      </c>
      <c r="I453">
        <v>53</v>
      </c>
      <c r="J453">
        <f t="shared" si="21"/>
        <v>-9</v>
      </c>
      <c r="K453" t="s">
        <v>20</v>
      </c>
      <c r="L453">
        <f t="shared" si="22"/>
        <v>1</v>
      </c>
      <c r="M453">
        <v>5</v>
      </c>
      <c r="N453">
        <v>3</v>
      </c>
      <c r="O453">
        <f t="shared" si="23"/>
        <v>1</v>
      </c>
    </row>
    <row r="454" spans="1:15" x14ac:dyDescent="0.3">
      <c r="A454" t="s">
        <v>15</v>
      </c>
      <c r="B454" t="s">
        <v>147</v>
      </c>
      <c r="C454" t="s">
        <v>148</v>
      </c>
      <c r="D454">
        <v>2</v>
      </c>
      <c r="E454" t="s">
        <v>37</v>
      </c>
      <c r="F454" t="s">
        <v>38</v>
      </c>
      <c r="G454">
        <v>31</v>
      </c>
      <c r="H454">
        <v>43</v>
      </c>
      <c r="I454">
        <v>74</v>
      </c>
      <c r="J454">
        <f t="shared" si="21"/>
        <v>-12</v>
      </c>
      <c r="K454" t="s">
        <v>20</v>
      </c>
      <c r="L454">
        <f t="shared" si="22"/>
        <v>1</v>
      </c>
      <c r="M454">
        <v>8</v>
      </c>
      <c r="N454">
        <v>3</v>
      </c>
      <c r="O454">
        <f t="shared" si="23"/>
        <v>1</v>
      </c>
    </row>
    <row r="455" spans="1:15" x14ac:dyDescent="0.3">
      <c r="A455" t="s">
        <v>15</v>
      </c>
      <c r="B455" t="s">
        <v>147</v>
      </c>
      <c r="C455" t="s">
        <v>148</v>
      </c>
      <c r="D455">
        <v>1</v>
      </c>
      <c r="E455" t="s">
        <v>39</v>
      </c>
      <c r="F455" t="s">
        <v>40</v>
      </c>
      <c r="G455">
        <v>95</v>
      </c>
      <c r="H455">
        <v>0</v>
      </c>
      <c r="I455">
        <v>95</v>
      </c>
      <c r="J455">
        <f t="shared" si="21"/>
        <v>0</v>
      </c>
      <c r="K455" t="s">
        <v>20</v>
      </c>
      <c r="L455">
        <f t="shared" si="22"/>
        <v>1</v>
      </c>
      <c r="M455">
        <v>10</v>
      </c>
      <c r="N455">
        <v>1</v>
      </c>
      <c r="O455">
        <f t="shared" si="23"/>
        <v>0</v>
      </c>
    </row>
    <row r="456" spans="1:15" x14ac:dyDescent="0.3">
      <c r="A456" t="s">
        <v>15</v>
      </c>
      <c r="B456" t="s">
        <v>147</v>
      </c>
      <c r="C456" t="s">
        <v>148</v>
      </c>
      <c r="D456">
        <v>1</v>
      </c>
      <c r="E456" t="s">
        <v>41</v>
      </c>
      <c r="F456" t="s">
        <v>42</v>
      </c>
      <c r="G456">
        <v>23</v>
      </c>
      <c r="H456">
        <v>30</v>
      </c>
      <c r="I456">
        <v>53</v>
      </c>
      <c r="J456">
        <f t="shared" si="21"/>
        <v>-7</v>
      </c>
      <c r="K456" t="s">
        <v>20</v>
      </c>
      <c r="L456">
        <f t="shared" si="22"/>
        <v>1</v>
      </c>
      <c r="M456">
        <v>6</v>
      </c>
      <c r="N456">
        <v>3</v>
      </c>
      <c r="O456">
        <f t="shared" si="23"/>
        <v>1</v>
      </c>
    </row>
    <row r="457" spans="1:15" x14ac:dyDescent="0.3">
      <c r="A457" t="s">
        <v>15</v>
      </c>
      <c r="B457" t="s">
        <v>147</v>
      </c>
      <c r="C457" t="s">
        <v>148</v>
      </c>
      <c r="D457">
        <v>1</v>
      </c>
      <c r="E457" t="s">
        <v>43</v>
      </c>
      <c r="F457" t="s">
        <v>44</v>
      </c>
      <c r="G457">
        <v>50</v>
      </c>
      <c r="H457">
        <v>0</v>
      </c>
      <c r="I457">
        <v>50</v>
      </c>
      <c r="J457">
        <f t="shared" si="21"/>
        <v>0</v>
      </c>
      <c r="K457" t="s">
        <v>20</v>
      </c>
      <c r="L457">
        <f t="shared" si="22"/>
        <v>1</v>
      </c>
      <c r="M457">
        <v>5</v>
      </c>
      <c r="N457">
        <v>1</v>
      </c>
      <c r="O457">
        <f t="shared" si="23"/>
        <v>0</v>
      </c>
    </row>
    <row r="458" spans="1:15" x14ac:dyDescent="0.3">
      <c r="A458" t="s">
        <v>15</v>
      </c>
      <c r="B458" t="s">
        <v>147</v>
      </c>
      <c r="C458" t="s">
        <v>148</v>
      </c>
      <c r="D458">
        <v>1</v>
      </c>
      <c r="E458" t="s">
        <v>45</v>
      </c>
      <c r="F458" t="s">
        <v>46</v>
      </c>
      <c r="G458">
        <v>26</v>
      </c>
      <c r="H458">
        <v>33</v>
      </c>
      <c r="I458">
        <v>59</v>
      </c>
      <c r="J458">
        <f t="shared" si="21"/>
        <v>-7</v>
      </c>
      <c r="K458" t="s">
        <v>20</v>
      </c>
      <c r="L458">
        <f t="shared" si="22"/>
        <v>1</v>
      </c>
      <c r="M458">
        <v>6</v>
      </c>
      <c r="N458">
        <v>1</v>
      </c>
      <c r="O458">
        <f t="shared" si="23"/>
        <v>1</v>
      </c>
    </row>
    <row r="459" spans="1:15" x14ac:dyDescent="0.3">
      <c r="A459" t="s">
        <v>15</v>
      </c>
      <c r="B459" t="s">
        <v>147</v>
      </c>
      <c r="C459" t="s">
        <v>148</v>
      </c>
      <c r="D459">
        <v>1</v>
      </c>
      <c r="E459" t="s">
        <v>149</v>
      </c>
      <c r="F459" t="s">
        <v>150</v>
      </c>
      <c r="G459">
        <v>78</v>
      </c>
      <c r="H459">
        <v>0</v>
      </c>
      <c r="I459">
        <v>78</v>
      </c>
      <c r="J459">
        <f t="shared" si="21"/>
        <v>0</v>
      </c>
      <c r="K459" t="s">
        <v>20</v>
      </c>
      <c r="L459">
        <f t="shared" si="22"/>
        <v>1</v>
      </c>
      <c r="M459">
        <v>8</v>
      </c>
      <c r="N459">
        <v>1</v>
      </c>
      <c r="O459">
        <f t="shared" si="23"/>
        <v>0</v>
      </c>
    </row>
    <row r="460" spans="1:15" x14ac:dyDescent="0.3">
      <c r="A460" t="s">
        <v>15</v>
      </c>
      <c r="B460" t="s">
        <v>147</v>
      </c>
      <c r="C460" t="s">
        <v>148</v>
      </c>
      <c r="D460">
        <v>1</v>
      </c>
      <c r="E460" t="s">
        <v>49</v>
      </c>
      <c r="F460" t="s">
        <v>50</v>
      </c>
      <c r="G460">
        <v>100</v>
      </c>
      <c r="H460">
        <v>0</v>
      </c>
      <c r="I460">
        <v>100</v>
      </c>
      <c r="J460">
        <f t="shared" si="21"/>
        <v>0</v>
      </c>
      <c r="K460" t="s">
        <v>20</v>
      </c>
      <c r="L460">
        <f t="shared" si="22"/>
        <v>1</v>
      </c>
      <c r="M460">
        <v>10</v>
      </c>
      <c r="N460">
        <v>1</v>
      </c>
      <c r="O460">
        <f t="shared" si="23"/>
        <v>0</v>
      </c>
    </row>
    <row r="461" spans="1:15" x14ac:dyDescent="0.3">
      <c r="A461" t="s">
        <v>15</v>
      </c>
      <c r="B461" t="s">
        <v>147</v>
      </c>
      <c r="C461" t="s">
        <v>148</v>
      </c>
      <c r="D461">
        <v>1</v>
      </c>
      <c r="E461" t="s">
        <v>51</v>
      </c>
      <c r="F461" t="s">
        <v>52</v>
      </c>
      <c r="G461">
        <v>90</v>
      </c>
      <c r="H461">
        <v>0</v>
      </c>
      <c r="I461">
        <v>90</v>
      </c>
      <c r="J461">
        <f t="shared" si="21"/>
        <v>0</v>
      </c>
      <c r="K461" t="s">
        <v>20</v>
      </c>
      <c r="L461">
        <f t="shared" si="22"/>
        <v>1</v>
      </c>
      <c r="M461">
        <v>9</v>
      </c>
      <c r="N461">
        <v>1</v>
      </c>
      <c r="O461">
        <f t="shared" si="23"/>
        <v>0</v>
      </c>
    </row>
    <row r="462" spans="1:15" x14ac:dyDescent="0.3">
      <c r="A462" t="s">
        <v>15</v>
      </c>
      <c r="B462" t="s">
        <v>147</v>
      </c>
      <c r="C462" t="s">
        <v>148</v>
      </c>
      <c r="D462">
        <v>1</v>
      </c>
      <c r="E462" t="s">
        <v>53</v>
      </c>
      <c r="F462" t="s">
        <v>54</v>
      </c>
      <c r="G462">
        <v>36</v>
      </c>
      <c r="H462">
        <v>28</v>
      </c>
      <c r="I462">
        <v>64</v>
      </c>
      <c r="J462">
        <f t="shared" si="21"/>
        <v>8</v>
      </c>
      <c r="K462" t="s">
        <v>20</v>
      </c>
      <c r="L462">
        <f t="shared" si="22"/>
        <v>1</v>
      </c>
      <c r="M462">
        <v>7</v>
      </c>
      <c r="N462">
        <v>4</v>
      </c>
      <c r="O462">
        <f t="shared" si="23"/>
        <v>1</v>
      </c>
    </row>
    <row r="463" spans="1:15" x14ac:dyDescent="0.3">
      <c r="A463" t="s">
        <v>15</v>
      </c>
      <c r="B463" t="s">
        <v>147</v>
      </c>
      <c r="C463" t="s">
        <v>148</v>
      </c>
      <c r="D463">
        <v>1</v>
      </c>
      <c r="E463" t="s">
        <v>55</v>
      </c>
      <c r="F463" t="s">
        <v>56</v>
      </c>
      <c r="G463">
        <v>36</v>
      </c>
      <c r="H463">
        <v>33</v>
      </c>
      <c r="I463">
        <v>69</v>
      </c>
      <c r="J463">
        <f t="shared" si="21"/>
        <v>3</v>
      </c>
      <c r="K463" t="s">
        <v>20</v>
      </c>
      <c r="L463">
        <f t="shared" si="22"/>
        <v>1</v>
      </c>
      <c r="M463">
        <v>7</v>
      </c>
      <c r="N463">
        <v>3</v>
      </c>
      <c r="O463">
        <f t="shared" si="23"/>
        <v>1</v>
      </c>
    </row>
    <row r="464" spans="1:15" x14ac:dyDescent="0.3">
      <c r="A464" t="s">
        <v>15</v>
      </c>
      <c r="B464" t="s">
        <v>147</v>
      </c>
      <c r="C464" t="s">
        <v>148</v>
      </c>
      <c r="D464">
        <v>1</v>
      </c>
      <c r="E464" t="s">
        <v>57</v>
      </c>
      <c r="F464" t="s">
        <v>58</v>
      </c>
      <c r="G464">
        <v>37</v>
      </c>
      <c r="H464">
        <v>33</v>
      </c>
      <c r="I464">
        <v>70</v>
      </c>
      <c r="J464">
        <f t="shared" si="21"/>
        <v>4</v>
      </c>
      <c r="K464" t="s">
        <v>20</v>
      </c>
      <c r="L464">
        <f t="shared" si="22"/>
        <v>1</v>
      </c>
      <c r="M464">
        <v>8</v>
      </c>
      <c r="N464">
        <v>4</v>
      </c>
      <c r="O464">
        <f t="shared" si="23"/>
        <v>1</v>
      </c>
    </row>
    <row r="465" spans="1:15" x14ac:dyDescent="0.3">
      <c r="A465" t="s">
        <v>15</v>
      </c>
      <c r="B465" t="s">
        <v>151</v>
      </c>
      <c r="C465" t="s">
        <v>152</v>
      </c>
      <c r="D465">
        <v>2</v>
      </c>
      <c r="E465" t="s">
        <v>18</v>
      </c>
      <c r="F465" t="s">
        <v>19</v>
      </c>
      <c r="G465">
        <v>48</v>
      </c>
      <c r="H465">
        <v>37</v>
      </c>
      <c r="I465">
        <v>85</v>
      </c>
      <c r="J465">
        <f t="shared" si="21"/>
        <v>11</v>
      </c>
      <c r="K465" t="s">
        <v>20</v>
      </c>
      <c r="L465">
        <f t="shared" si="22"/>
        <v>1</v>
      </c>
      <c r="M465">
        <v>8</v>
      </c>
      <c r="N465">
        <v>4</v>
      </c>
      <c r="O465">
        <f t="shared" si="23"/>
        <v>1</v>
      </c>
    </row>
    <row r="466" spans="1:15" x14ac:dyDescent="0.3">
      <c r="A466" t="s">
        <v>15</v>
      </c>
      <c r="B466" t="s">
        <v>151</v>
      </c>
      <c r="C466" t="s">
        <v>152</v>
      </c>
      <c r="D466">
        <v>2</v>
      </c>
      <c r="E466" t="s">
        <v>21</v>
      </c>
      <c r="F466" t="s">
        <v>22</v>
      </c>
      <c r="G466">
        <v>46</v>
      </c>
      <c r="H466">
        <v>35</v>
      </c>
      <c r="I466">
        <v>81</v>
      </c>
      <c r="J466">
        <f t="shared" si="21"/>
        <v>11</v>
      </c>
      <c r="K466" t="s">
        <v>20</v>
      </c>
      <c r="L466">
        <f t="shared" si="22"/>
        <v>1</v>
      </c>
      <c r="M466">
        <v>9</v>
      </c>
      <c r="N466">
        <v>4</v>
      </c>
      <c r="O466">
        <f t="shared" si="23"/>
        <v>1</v>
      </c>
    </row>
    <row r="467" spans="1:15" x14ac:dyDescent="0.3">
      <c r="A467" t="s">
        <v>15</v>
      </c>
      <c r="B467" t="s">
        <v>151</v>
      </c>
      <c r="C467" t="s">
        <v>152</v>
      </c>
      <c r="D467">
        <v>2</v>
      </c>
      <c r="E467" t="s">
        <v>25</v>
      </c>
      <c r="F467" t="s">
        <v>26</v>
      </c>
      <c r="G467">
        <v>44</v>
      </c>
      <c r="H467">
        <v>35</v>
      </c>
      <c r="I467">
        <v>79</v>
      </c>
      <c r="J467">
        <f t="shared" si="21"/>
        <v>9</v>
      </c>
      <c r="K467" t="s">
        <v>20</v>
      </c>
      <c r="L467">
        <f t="shared" si="22"/>
        <v>1</v>
      </c>
      <c r="M467">
        <v>8</v>
      </c>
      <c r="N467">
        <v>1</v>
      </c>
      <c r="O467">
        <f t="shared" si="23"/>
        <v>1</v>
      </c>
    </row>
    <row r="468" spans="1:15" x14ac:dyDescent="0.3">
      <c r="A468" t="s">
        <v>15</v>
      </c>
      <c r="B468" t="s">
        <v>151</v>
      </c>
      <c r="C468" t="s">
        <v>152</v>
      </c>
      <c r="D468">
        <v>2</v>
      </c>
      <c r="E468" t="s">
        <v>61</v>
      </c>
      <c r="F468" t="s">
        <v>62</v>
      </c>
      <c r="G468">
        <v>35</v>
      </c>
      <c r="H468">
        <v>47</v>
      </c>
      <c r="I468">
        <v>82</v>
      </c>
      <c r="J468">
        <f t="shared" si="21"/>
        <v>-12</v>
      </c>
      <c r="K468" t="s">
        <v>20</v>
      </c>
      <c r="L468">
        <f t="shared" si="22"/>
        <v>1</v>
      </c>
      <c r="M468">
        <v>8</v>
      </c>
      <c r="N468">
        <v>2</v>
      </c>
      <c r="O468">
        <f t="shared" si="23"/>
        <v>1</v>
      </c>
    </row>
    <row r="469" spans="1:15" x14ac:dyDescent="0.3">
      <c r="A469" t="s">
        <v>15</v>
      </c>
      <c r="B469" t="s">
        <v>151</v>
      </c>
      <c r="C469" t="s">
        <v>152</v>
      </c>
      <c r="D469">
        <v>2</v>
      </c>
      <c r="E469" t="s">
        <v>81</v>
      </c>
      <c r="F469" t="s">
        <v>82</v>
      </c>
      <c r="G469">
        <v>52</v>
      </c>
      <c r="H469">
        <v>37</v>
      </c>
      <c r="I469">
        <v>89</v>
      </c>
      <c r="J469">
        <f t="shared" si="21"/>
        <v>15</v>
      </c>
      <c r="K469" t="s">
        <v>20</v>
      </c>
      <c r="L469">
        <f t="shared" si="22"/>
        <v>1</v>
      </c>
      <c r="M469">
        <v>9</v>
      </c>
      <c r="N469">
        <v>3</v>
      </c>
      <c r="O469">
        <f t="shared" si="23"/>
        <v>1</v>
      </c>
    </row>
    <row r="470" spans="1:15" x14ac:dyDescent="0.3">
      <c r="A470" t="s">
        <v>15</v>
      </c>
      <c r="B470" t="s">
        <v>151</v>
      </c>
      <c r="C470" t="s">
        <v>152</v>
      </c>
      <c r="D470">
        <v>2</v>
      </c>
      <c r="E470" t="s">
        <v>33</v>
      </c>
      <c r="F470" t="s">
        <v>34</v>
      </c>
      <c r="G470">
        <v>44</v>
      </c>
      <c r="H470">
        <v>35</v>
      </c>
      <c r="I470">
        <v>79</v>
      </c>
      <c r="J470">
        <f t="shared" si="21"/>
        <v>9</v>
      </c>
      <c r="K470" t="s">
        <v>20</v>
      </c>
      <c r="L470">
        <f t="shared" si="22"/>
        <v>1</v>
      </c>
      <c r="M470">
        <v>8</v>
      </c>
      <c r="N470">
        <v>4</v>
      </c>
      <c r="O470">
        <f t="shared" si="23"/>
        <v>1</v>
      </c>
    </row>
    <row r="471" spans="1:15" x14ac:dyDescent="0.3">
      <c r="A471" t="s">
        <v>15</v>
      </c>
      <c r="B471" t="s">
        <v>151</v>
      </c>
      <c r="C471" t="s">
        <v>152</v>
      </c>
      <c r="D471">
        <v>2</v>
      </c>
      <c r="E471" t="s">
        <v>35</v>
      </c>
      <c r="F471" t="s">
        <v>36</v>
      </c>
      <c r="G471">
        <v>31</v>
      </c>
      <c r="H471">
        <v>42</v>
      </c>
      <c r="I471">
        <v>73</v>
      </c>
      <c r="J471">
        <f t="shared" si="21"/>
        <v>-11</v>
      </c>
      <c r="K471" t="s">
        <v>20</v>
      </c>
      <c r="L471">
        <f t="shared" si="22"/>
        <v>1</v>
      </c>
      <c r="M471">
        <v>8</v>
      </c>
      <c r="N471">
        <v>3</v>
      </c>
      <c r="O471">
        <f t="shared" si="23"/>
        <v>1</v>
      </c>
    </row>
    <row r="472" spans="1:15" x14ac:dyDescent="0.3">
      <c r="A472" t="s">
        <v>15</v>
      </c>
      <c r="B472" t="s">
        <v>151</v>
      </c>
      <c r="C472" t="s">
        <v>152</v>
      </c>
      <c r="D472">
        <v>2</v>
      </c>
      <c r="E472" t="s">
        <v>37</v>
      </c>
      <c r="F472" t="s">
        <v>38</v>
      </c>
      <c r="G472">
        <v>36</v>
      </c>
      <c r="H472">
        <v>57</v>
      </c>
      <c r="I472">
        <v>93</v>
      </c>
      <c r="J472">
        <f t="shared" si="21"/>
        <v>-21</v>
      </c>
      <c r="K472" t="s">
        <v>20</v>
      </c>
      <c r="L472">
        <f t="shared" si="22"/>
        <v>1</v>
      </c>
      <c r="M472">
        <v>10</v>
      </c>
      <c r="N472">
        <v>3</v>
      </c>
      <c r="O472">
        <f t="shared" si="23"/>
        <v>1</v>
      </c>
    </row>
    <row r="473" spans="1:15" x14ac:dyDescent="0.3">
      <c r="A473" t="s">
        <v>15</v>
      </c>
      <c r="B473" t="s">
        <v>151</v>
      </c>
      <c r="C473" t="s">
        <v>152</v>
      </c>
      <c r="D473">
        <v>1</v>
      </c>
      <c r="E473" t="s">
        <v>39</v>
      </c>
      <c r="F473" t="s">
        <v>40</v>
      </c>
      <c r="G473">
        <v>85</v>
      </c>
      <c r="H473">
        <v>0</v>
      </c>
      <c r="I473">
        <v>85</v>
      </c>
      <c r="J473">
        <f t="shared" si="21"/>
        <v>0</v>
      </c>
      <c r="K473" t="s">
        <v>20</v>
      </c>
      <c r="L473">
        <f t="shared" si="22"/>
        <v>1</v>
      </c>
      <c r="M473">
        <v>9</v>
      </c>
      <c r="N473">
        <v>1</v>
      </c>
      <c r="O473">
        <f t="shared" si="23"/>
        <v>0</v>
      </c>
    </row>
    <row r="474" spans="1:15" x14ac:dyDescent="0.3">
      <c r="A474" t="s">
        <v>15</v>
      </c>
      <c r="B474" t="s">
        <v>151</v>
      </c>
      <c r="C474" t="s">
        <v>152</v>
      </c>
      <c r="D474">
        <v>1</v>
      </c>
      <c r="E474" t="s">
        <v>41</v>
      </c>
      <c r="F474" t="s">
        <v>42</v>
      </c>
      <c r="G474">
        <v>26</v>
      </c>
      <c r="H474">
        <v>52</v>
      </c>
      <c r="I474">
        <v>78</v>
      </c>
      <c r="J474">
        <f t="shared" si="21"/>
        <v>-26</v>
      </c>
      <c r="K474" t="s">
        <v>20</v>
      </c>
      <c r="L474">
        <f t="shared" si="22"/>
        <v>1</v>
      </c>
      <c r="M474">
        <v>10</v>
      </c>
      <c r="N474">
        <v>3</v>
      </c>
      <c r="O474">
        <f t="shared" si="23"/>
        <v>1</v>
      </c>
    </row>
    <row r="475" spans="1:15" x14ac:dyDescent="0.3">
      <c r="A475" t="s">
        <v>15</v>
      </c>
      <c r="B475" t="s">
        <v>151</v>
      </c>
      <c r="C475" t="s">
        <v>152</v>
      </c>
      <c r="D475">
        <v>1</v>
      </c>
      <c r="E475" t="s">
        <v>43</v>
      </c>
      <c r="F475" t="s">
        <v>44</v>
      </c>
      <c r="G475">
        <v>90</v>
      </c>
      <c r="H475">
        <v>0</v>
      </c>
      <c r="I475">
        <v>90</v>
      </c>
      <c r="J475">
        <f t="shared" si="21"/>
        <v>0</v>
      </c>
      <c r="K475" t="s">
        <v>20</v>
      </c>
      <c r="L475">
        <f t="shared" si="22"/>
        <v>1</v>
      </c>
      <c r="M475">
        <v>9</v>
      </c>
      <c r="N475">
        <v>1</v>
      </c>
      <c r="O475">
        <f t="shared" si="23"/>
        <v>0</v>
      </c>
    </row>
    <row r="476" spans="1:15" x14ac:dyDescent="0.3">
      <c r="A476" t="s">
        <v>15</v>
      </c>
      <c r="B476" t="s">
        <v>151</v>
      </c>
      <c r="C476" t="s">
        <v>152</v>
      </c>
      <c r="D476">
        <v>1</v>
      </c>
      <c r="E476" t="s">
        <v>45</v>
      </c>
      <c r="F476" t="s">
        <v>46</v>
      </c>
      <c r="G476">
        <v>34</v>
      </c>
      <c r="H476">
        <v>51</v>
      </c>
      <c r="I476">
        <v>85</v>
      </c>
      <c r="J476">
        <f t="shared" si="21"/>
        <v>-17</v>
      </c>
      <c r="K476" t="s">
        <v>20</v>
      </c>
      <c r="L476">
        <f t="shared" si="22"/>
        <v>1</v>
      </c>
      <c r="M476">
        <v>9</v>
      </c>
      <c r="N476">
        <v>1</v>
      </c>
      <c r="O476">
        <f t="shared" si="23"/>
        <v>1</v>
      </c>
    </row>
    <row r="477" spans="1:15" x14ac:dyDescent="0.3">
      <c r="A477" t="s">
        <v>15</v>
      </c>
      <c r="B477" t="s">
        <v>151</v>
      </c>
      <c r="C477" t="s">
        <v>152</v>
      </c>
      <c r="D477">
        <v>1</v>
      </c>
      <c r="E477" t="s">
        <v>83</v>
      </c>
      <c r="F477" t="s">
        <v>84</v>
      </c>
      <c r="G477">
        <v>58</v>
      </c>
      <c r="H477">
        <v>38</v>
      </c>
      <c r="I477">
        <v>96</v>
      </c>
      <c r="J477">
        <f t="shared" si="21"/>
        <v>20</v>
      </c>
      <c r="K477" t="s">
        <v>20</v>
      </c>
      <c r="L477">
        <f t="shared" si="22"/>
        <v>1</v>
      </c>
      <c r="M477">
        <v>10</v>
      </c>
      <c r="N477">
        <v>3</v>
      </c>
      <c r="O477">
        <f t="shared" si="23"/>
        <v>1</v>
      </c>
    </row>
    <row r="478" spans="1:15" x14ac:dyDescent="0.3">
      <c r="A478" t="s">
        <v>15</v>
      </c>
      <c r="B478" t="s">
        <v>151</v>
      </c>
      <c r="C478" t="s">
        <v>152</v>
      </c>
      <c r="D478">
        <v>1</v>
      </c>
      <c r="E478" t="s">
        <v>53</v>
      </c>
      <c r="F478" t="s">
        <v>54</v>
      </c>
      <c r="G478">
        <v>45</v>
      </c>
      <c r="H478">
        <v>41</v>
      </c>
      <c r="I478">
        <v>86</v>
      </c>
      <c r="J478">
        <f t="shared" si="21"/>
        <v>4</v>
      </c>
      <c r="K478" t="s">
        <v>20</v>
      </c>
      <c r="L478">
        <f t="shared" si="22"/>
        <v>1</v>
      </c>
      <c r="M478">
        <v>8</v>
      </c>
      <c r="N478">
        <v>4</v>
      </c>
      <c r="O478">
        <f t="shared" si="23"/>
        <v>1</v>
      </c>
    </row>
    <row r="479" spans="1:15" x14ac:dyDescent="0.3">
      <c r="A479" t="s">
        <v>15</v>
      </c>
      <c r="B479" t="s">
        <v>151</v>
      </c>
      <c r="C479" t="s">
        <v>152</v>
      </c>
      <c r="D479">
        <v>1</v>
      </c>
      <c r="E479" t="s">
        <v>55</v>
      </c>
      <c r="F479" t="s">
        <v>56</v>
      </c>
      <c r="G479">
        <v>46</v>
      </c>
      <c r="H479">
        <v>48</v>
      </c>
      <c r="I479">
        <v>94</v>
      </c>
      <c r="J479">
        <f t="shared" si="21"/>
        <v>-2</v>
      </c>
      <c r="K479" t="s">
        <v>20</v>
      </c>
      <c r="L479">
        <f t="shared" si="22"/>
        <v>1</v>
      </c>
      <c r="M479">
        <v>10</v>
      </c>
      <c r="N479">
        <v>3</v>
      </c>
      <c r="O479">
        <f t="shared" si="23"/>
        <v>1</v>
      </c>
    </row>
    <row r="480" spans="1:15" x14ac:dyDescent="0.3">
      <c r="A480" t="s">
        <v>15</v>
      </c>
      <c r="B480" t="s">
        <v>151</v>
      </c>
      <c r="C480" t="s">
        <v>152</v>
      </c>
      <c r="D480">
        <v>1</v>
      </c>
      <c r="E480" t="s">
        <v>57</v>
      </c>
      <c r="F480" t="s">
        <v>58</v>
      </c>
      <c r="G480">
        <v>44</v>
      </c>
      <c r="H480">
        <v>42</v>
      </c>
      <c r="I480">
        <v>86</v>
      </c>
      <c r="J480">
        <f t="shared" si="21"/>
        <v>2</v>
      </c>
      <c r="K480" t="s">
        <v>20</v>
      </c>
      <c r="L480">
        <f t="shared" si="22"/>
        <v>1</v>
      </c>
      <c r="M480">
        <v>10</v>
      </c>
      <c r="N480">
        <v>4</v>
      </c>
      <c r="O480">
        <f t="shared" si="23"/>
        <v>1</v>
      </c>
    </row>
    <row r="481" spans="1:15" x14ac:dyDescent="0.3">
      <c r="A481" t="s">
        <v>15</v>
      </c>
      <c r="B481" t="s">
        <v>153</v>
      </c>
      <c r="C481" t="s">
        <v>154</v>
      </c>
      <c r="D481">
        <v>2</v>
      </c>
      <c r="E481" t="s">
        <v>18</v>
      </c>
      <c r="F481" t="s">
        <v>19</v>
      </c>
      <c r="G481">
        <v>42</v>
      </c>
      <c r="H481">
        <v>32</v>
      </c>
      <c r="I481">
        <v>74</v>
      </c>
      <c r="J481">
        <f t="shared" si="21"/>
        <v>10</v>
      </c>
      <c r="K481" t="s">
        <v>20</v>
      </c>
      <c r="L481">
        <f t="shared" si="22"/>
        <v>1</v>
      </c>
      <c r="M481">
        <v>8</v>
      </c>
      <c r="N481">
        <v>4</v>
      </c>
      <c r="O481">
        <f t="shared" si="23"/>
        <v>1</v>
      </c>
    </row>
    <row r="482" spans="1:15" x14ac:dyDescent="0.3">
      <c r="A482" t="s">
        <v>15</v>
      </c>
      <c r="B482" t="s">
        <v>153</v>
      </c>
      <c r="C482" t="s">
        <v>154</v>
      </c>
      <c r="D482">
        <v>2</v>
      </c>
      <c r="E482" t="s">
        <v>21</v>
      </c>
      <c r="F482" t="s">
        <v>22</v>
      </c>
      <c r="G482">
        <v>41</v>
      </c>
      <c r="H482">
        <v>30</v>
      </c>
      <c r="I482">
        <v>71</v>
      </c>
      <c r="J482">
        <f t="shared" si="21"/>
        <v>11</v>
      </c>
      <c r="K482" t="s">
        <v>20</v>
      </c>
      <c r="L482">
        <f t="shared" si="22"/>
        <v>1</v>
      </c>
      <c r="M482">
        <v>7</v>
      </c>
      <c r="N482">
        <v>4</v>
      </c>
      <c r="O482">
        <f t="shared" si="23"/>
        <v>1</v>
      </c>
    </row>
    <row r="483" spans="1:15" x14ac:dyDescent="0.3">
      <c r="A483" t="s">
        <v>15</v>
      </c>
      <c r="B483" t="s">
        <v>153</v>
      </c>
      <c r="C483" t="s">
        <v>154</v>
      </c>
      <c r="D483">
        <v>2</v>
      </c>
      <c r="E483" t="s">
        <v>23</v>
      </c>
      <c r="F483" t="s">
        <v>24</v>
      </c>
      <c r="G483">
        <v>84</v>
      </c>
      <c r="H483">
        <v>0</v>
      </c>
      <c r="I483">
        <v>84</v>
      </c>
      <c r="J483">
        <f t="shared" si="21"/>
        <v>0</v>
      </c>
      <c r="K483" t="s">
        <v>20</v>
      </c>
      <c r="L483">
        <f t="shared" si="22"/>
        <v>1</v>
      </c>
      <c r="M483">
        <v>9</v>
      </c>
      <c r="N483">
        <v>1</v>
      </c>
      <c r="O483">
        <f t="shared" si="23"/>
        <v>0</v>
      </c>
    </row>
    <row r="484" spans="1:15" x14ac:dyDescent="0.3">
      <c r="A484" t="s">
        <v>15</v>
      </c>
      <c r="B484" t="s">
        <v>153</v>
      </c>
      <c r="C484" t="s">
        <v>154</v>
      </c>
      <c r="D484">
        <v>2</v>
      </c>
      <c r="E484" t="s">
        <v>25</v>
      </c>
      <c r="F484" t="s">
        <v>26</v>
      </c>
      <c r="G484">
        <v>39</v>
      </c>
      <c r="H484">
        <v>32</v>
      </c>
      <c r="I484">
        <v>71</v>
      </c>
      <c r="J484">
        <f t="shared" si="21"/>
        <v>7</v>
      </c>
      <c r="K484" t="s">
        <v>20</v>
      </c>
      <c r="L484">
        <f t="shared" si="22"/>
        <v>1</v>
      </c>
      <c r="M484">
        <v>7</v>
      </c>
      <c r="N484">
        <v>1</v>
      </c>
      <c r="O484">
        <f t="shared" si="23"/>
        <v>1</v>
      </c>
    </row>
    <row r="485" spans="1:15" x14ac:dyDescent="0.3">
      <c r="A485" t="s">
        <v>15</v>
      </c>
      <c r="B485" t="s">
        <v>153</v>
      </c>
      <c r="C485" t="s">
        <v>154</v>
      </c>
      <c r="D485">
        <v>2</v>
      </c>
      <c r="E485" t="s">
        <v>27</v>
      </c>
      <c r="F485" t="s">
        <v>28</v>
      </c>
      <c r="G485">
        <v>33</v>
      </c>
      <c r="H485">
        <v>47</v>
      </c>
      <c r="I485">
        <v>80</v>
      </c>
      <c r="J485">
        <f t="shared" si="21"/>
        <v>-14</v>
      </c>
      <c r="K485" t="s">
        <v>20</v>
      </c>
      <c r="L485">
        <f t="shared" si="22"/>
        <v>1</v>
      </c>
      <c r="M485">
        <v>8</v>
      </c>
      <c r="N485">
        <v>2</v>
      </c>
      <c r="O485">
        <f t="shared" si="23"/>
        <v>1</v>
      </c>
    </row>
    <row r="486" spans="1:15" x14ac:dyDescent="0.3">
      <c r="A486" t="s">
        <v>15</v>
      </c>
      <c r="B486" t="s">
        <v>153</v>
      </c>
      <c r="C486" t="s">
        <v>154</v>
      </c>
      <c r="D486">
        <v>2</v>
      </c>
      <c r="E486" t="s">
        <v>117</v>
      </c>
      <c r="F486" t="s">
        <v>118</v>
      </c>
      <c r="G486">
        <v>82</v>
      </c>
      <c r="H486">
        <v>0</v>
      </c>
      <c r="I486">
        <v>82</v>
      </c>
      <c r="J486">
        <f t="shared" si="21"/>
        <v>0</v>
      </c>
      <c r="K486" t="s">
        <v>20</v>
      </c>
      <c r="L486">
        <f t="shared" si="22"/>
        <v>1</v>
      </c>
      <c r="M486">
        <v>9</v>
      </c>
      <c r="N486">
        <v>1</v>
      </c>
      <c r="O486">
        <f t="shared" si="23"/>
        <v>0</v>
      </c>
    </row>
    <row r="487" spans="1:15" x14ac:dyDescent="0.3">
      <c r="A487" t="s">
        <v>15</v>
      </c>
      <c r="B487" t="s">
        <v>153</v>
      </c>
      <c r="C487" t="s">
        <v>154</v>
      </c>
      <c r="D487">
        <v>2</v>
      </c>
      <c r="E487" t="s">
        <v>31</v>
      </c>
      <c r="F487" t="s">
        <v>32</v>
      </c>
      <c r="G487">
        <v>92</v>
      </c>
      <c r="H487">
        <v>0</v>
      </c>
      <c r="I487">
        <v>92</v>
      </c>
      <c r="J487">
        <f t="shared" si="21"/>
        <v>0</v>
      </c>
      <c r="K487" t="s">
        <v>20</v>
      </c>
      <c r="L487">
        <f t="shared" si="22"/>
        <v>1</v>
      </c>
      <c r="M487">
        <v>10</v>
      </c>
      <c r="N487">
        <v>1</v>
      </c>
      <c r="O487">
        <f t="shared" si="23"/>
        <v>0</v>
      </c>
    </row>
    <row r="488" spans="1:15" x14ac:dyDescent="0.3">
      <c r="A488" t="s">
        <v>15</v>
      </c>
      <c r="B488" t="s">
        <v>153</v>
      </c>
      <c r="C488" t="s">
        <v>154</v>
      </c>
      <c r="D488">
        <v>2</v>
      </c>
      <c r="E488" t="s">
        <v>33</v>
      </c>
      <c r="F488" t="s">
        <v>34</v>
      </c>
      <c r="G488">
        <v>37</v>
      </c>
      <c r="H488">
        <v>28</v>
      </c>
      <c r="I488">
        <v>65</v>
      </c>
      <c r="J488">
        <f t="shared" si="21"/>
        <v>9</v>
      </c>
      <c r="K488" t="s">
        <v>20</v>
      </c>
      <c r="L488">
        <f t="shared" si="22"/>
        <v>1</v>
      </c>
      <c r="M488">
        <v>7</v>
      </c>
      <c r="N488">
        <v>4</v>
      </c>
      <c r="O488">
        <f t="shared" si="23"/>
        <v>1</v>
      </c>
    </row>
    <row r="489" spans="1:15" x14ac:dyDescent="0.3">
      <c r="A489" t="s">
        <v>15</v>
      </c>
      <c r="B489" t="s">
        <v>153</v>
      </c>
      <c r="C489" t="s">
        <v>154</v>
      </c>
      <c r="D489">
        <v>2</v>
      </c>
      <c r="E489" t="s">
        <v>35</v>
      </c>
      <c r="F489" t="s">
        <v>36</v>
      </c>
      <c r="G489">
        <v>28</v>
      </c>
      <c r="H489">
        <v>42</v>
      </c>
      <c r="I489">
        <v>70</v>
      </c>
      <c r="J489">
        <f t="shared" si="21"/>
        <v>-14</v>
      </c>
      <c r="K489" t="s">
        <v>20</v>
      </c>
      <c r="L489">
        <f t="shared" si="22"/>
        <v>1</v>
      </c>
      <c r="M489">
        <v>7</v>
      </c>
      <c r="N489">
        <v>3</v>
      </c>
      <c r="O489">
        <f t="shared" si="23"/>
        <v>1</v>
      </c>
    </row>
    <row r="490" spans="1:15" x14ac:dyDescent="0.3">
      <c r="A490" t="s">
        <v>15</v>
      </c>
      <c r="B490" t="s">
        <v>153</v>
      </c>
      <c r="C490" t="s">
        <v>154</v>
      </c>
      <c r="D490">
        <v>2</v>
      </c>
      <c r="E490" t="s">
        <v>37</v>
      </c>
      <c r="F490" t="s">
        <v>38</v>
      </c>
      <c r="G490">
        <v>35</v>
      </c>
      <c r="H490">
        <v>39</v>
      </c>
      <c r="I490">
        <v>74</v>
      </c>
      <c r="J490">
        <f t="shared" si="21"/>
        <v>-4</v>
      </c>
      <c r="K490" t="s">
        <v>20</v>
      </c>
      <c r="L490">
        <f t="shared" si="22"/>
        <v>1</v>
      </c>
      <c r="M490">
        <v>8</v>
      </c>
      <c r="N490">
        <v>3</v>
      </c>
      <c r="O490">
        <f t="shared" si="23"/>
        <v>1</v>
      </c>
    </row>
    <row r="491" spans="1:15" x14ac:dyDescent="0.3">
      <c r="A491" t="s">
        <v>15</v>
      </c>
      <c r="B491" t="s">
        <v>153</v>
      </c>
      <c r="C491" t="s">
        <v>154</v>
      </c>
      <c r="D491">
        <v>1</v>
      </c>
      <c r="E491" t="s">
        <v>39</v>
      </c>
      <c r="F491" t="s">
        <v>40</v>
      </c>
      <c r="G491">
        <v>95</v>
      </c>
      <c r="H491">
        <v>0</v>
      </c>
      <c r="I491">
        <v>95</v>
      </c>
      <c r="J491">
        <f t="shared" si="21"/>
        <v>0</v>
      </c>
      <c r="K491" t="s">
        <v>20</v>
      </c>
      <c r="L491">
        <f t="shared" si="22"/>
        <v>1</v>
      </c>
      <c r="M491">
        <v>10</v>
      </c>
      <c r="N491">
        <v>1</v>
      </c>
      <c r="O491">
        <f t="shared" si="23"/>
        <v>0</v>
      </c>
    </row>
    <row r="492" spans="1:15" x14ac:dyDescent="0.3">
      <c r="A492" t="s">
        <v>15</v>
      </c>
      <c r="B492" t="s">
        <v>153</v>
      </c>
      <c r="C492" t="s">
        <v>154</v>
      </c>
      <c r="D492">
        <v>1</v>
      </c>
      <c r="E492" t="s">
        <v>41</v>
      </c>
      <c r="F492" t="s">
        <v>42</v>
      </c>
      <c r="G492">
        <v>25</v>
      </c>
      <c r="H492">
        <v>30</v>
      </c>
      <c r="I492">
        <v>55</v>
      </c>
      <c r="J492">
        <f t="shared" si="21"/>
        <v>-5</v>
      </c>
      <c r="K492" t="s">
        <v>20</v>
      </c>
      <c r="L492">
        <f t="shared" si="22"/>
        <v>1</v>
      </c>
      <c r="M492">
        <v>7</v>
      </c>
      <c r="N492">
        <v>3</v>
      </c>
      <c r="O492">
        <f t="shared" si="23"/>
        <v>1</v>
      </c>
    </row>
    <row r="493" spans="1:15" x14ac:dyDescent="0.3">
      <c r="A493" t="s">
        <v>15</v>
      </c>
      <c r="B493" t="s">
        <v>153</v>
      </c>
      <c r="C493" t="s">
        <v>154</v>
      </c>
      <c r="D493">
        <v>1</v>
      </c>
      <c r="E493" t="s">
        <v>43</v>
      </c>
      <c r="F493" t="s">
        <v>44</v>
      </c>
      <c r="G493">
        <v>63</v>
      </c>
      <c r="H493">
        <v>0</v>
      </c>
      <c r="I493">
        <v>63</v>
      </c>
      <c r="J493">
        <f t="shared" si="21"/>
        <v>0</v>
      </c>
      <c r="K493" t="s">
        <v>20</v>
      </c>
      <c r="L493">
        <f t="shared" si="22"/>
        <v>1</v>
      </c>
      <c r="M493">
        <v>7</v>
      </c>
      <c r="N493">
        <v>1</v>
      </c>
      <c r="O493">
        <f t="shared" si="23"/>
        <v>0</v>
      </c>
    </row>
    <row r="494" spans="1:15" x14ac:dyDescent="0.3">
      <c r="A494" t="s">
        <v>15</v>
      </c>
      <c r="B494" t="s">
        <v>153</v>
      </c>
      <c r="C494" t="s">
        <v>154</v>
      </c>
      <c r="D494">
        <v>1</v>
      </c>
      <c r="E494" t="s">
        <v>45</v>
      </c>
      <c r="F494" t="s">
        <v>46</v>
      </c>
      <c r="G494">
        <v>26</v>
      </c>
      <c r="H494">
        <v>41</v>
      </c>
      <c r="I494">
        <v>67</v>
      </c>
      <c r="J494">
        <f t="shared" si="21"/>
        <v>-15</v>
      </c>
      <c r="K494" t="s">
        <v>20</v>
      </c>
      <c r="L494">
        <f t="shared" si="22"/>
        <v>1</v>
      </c>
      <c r="M494">
        <v>7</v>
      </c>
      <c r="N494">
        <v>1</v>
      </c>
      <c r="O494">
        <f t="shared" si="23"/>
        <v>1</v>
      </c>
    </row>
    <row r="495" spans="1:15" x14ac:dyDescent="0.3">
      <c r="A495" t="s">
        <v>15</v>
      </c>
      <c r="B495" t="s">
        <v>153</v>
      </c>
      <c r="C495" t="s">
        <v>154</v>
      </c>
      <c r="D495">
        <v>1</v>
      </c>
      <c r="E495" t="s">
        <v>155</v>
      </c>
      <c r="F495" t="s">
        <v>156</v>
      </c>
      <c r="G495">
        <v>82</v>
      </c>
      <c r="H495">
        <v>0</v>
      </c>
      <c r="I495">
        <v>82</v>
      </c>
      <c r="J495">
        <f t="shared" si="21"/>
        <v>0</v>
      </c>
      <c r="K495" t="s">
        <v>20</v>
      </c>
      <c r="L495">
        <f t="shared" si="22"/>
        <v>1</v>
      </c>
      <c r="M495">
        <v>9</v>
      </c>
      <c r="N495">
        <v>1</v>
      </c>
      <c r="O495">
        <f t="shared" si="23"/>
        <v>0</v>
      </c>
    </row>
    <row r="496" spans="1:15" x14ac:dyDescent="0.3">
      <c r="A496" t="s">
        <v>15</v>
      </c>
      <c r="B496" t="s">
        <v>153</v>
      </c>
      <c r="C496" t="s">
        <v>154</v>
      </c>
      <c r="D496">
        <v>1</v>
      </c>
      <c r="E496" t="s">
        <v>49</v>
      </c>
      <c r="F496" t="s">
        <v>50</v>
      </c>
      <c r="G496">
        <v>90</v>
      </c>
      <c r="H496">
        <v>0</v>
      </c>
      <c r="I496">
        <v>90</v>
      </c>
      <c r="J496">
        <f t="shared" si="21"/>
        <v>0</v>
      </c>
      <c r="K496" t="s">
        <v>20</v>
      </c>
      <c r="L496">
        <f t="shared" si="22"/>
        <v>1</v>
      </c>
      <c r="M496">
        <v>9</v>
      </c>
      <c r="N496">
        <v>1</v>
      </c>
      <c r="O496">
        <f t="shared" si="23"/>
        <v>0</v>
      </c>
    </row>
    <row r="497" spans="1:15" x14ac:dyDescent="0.3">
      <c r="A497" t="s">
        <v>15</v>
      </c>
      <c r="B497" t="s">
        <v>153</v>
      </c>
      <c r="C497" t="s">
        <v>154</v>
      </c>
      <c r="D497">
        <v>1</v>
      </c>
      <c r="E497" t="s">
        <v>51</v>
      </c>
      <c r="F497" t="s">
        <v>52</v>
      </c>
      <c r="G497">
        <v>88</v>
      </c>
      <c r="H497">
        <v>0</v>
      </c>
      <c r="I497">
        <v>88</v>
      </c>
      <c r="J497">
        <f t="shared" si="21"/>
        <v>0</v>
      </c>
      <c r="K497" t="s">
        <v>20</v>
      </c>
      <c r="L497">
        <f t="shared" si="22"/>
        <v>1</v>
      </c>
      <c r="M497">
        <v>9</v>
      </c>
      <c r="N497">
        <v>1</v>
      </c>
      <c r="O497">
        <f t="shared" si="23"/>
        <v>0</v>
      </c>
    </row>
    <row r="498" spans="1:15" x14ac:dyDescent="0.3">
      <c r="A498" t="s">
        <v>15</v>
      </c>
      <c r="B498" t="s">
        <v>153</v>
      </c>
      <c r="C498" t="s">
        <v>154</v>
      </c>
      <c r="D498">
        <v>1</v>
      </c>
      <c r="E498" t="s">
        <v>53</v>
      </c>
      <c r="F498" t="s">
        <v>54</v>
      </c>
      <c r="G498">
        <v>38</v>
      </c>
      <c r="H498">
        <v>30</v>
      </c>
      <c r="I498">
        <v>68</v>
      </c>
      <c r="J498">
        <f t="shared" si="21"/>
        <v>8</v>
      </c>
      <c r="K498" t="s">
        <v>20</v>
      </c>
      <c r="L498">
        <f t="shared" si="22"/>
        <v>1</v>
      </c>
      <c r="M498">
        <v>7</v>
      </c>
      <c r="N498">
        <v>4</v>
      </c>
      <c r="O498">
        <f t="shared" si="23"/>
        <v>1</v>
      </c>
    </row>
    <row r="499" spans="1:15" x14ac:dyDescent="0.3">
      <c r="A499" t="s">
        <v>15</v>
      </c>
      <c r="B499" t="s">
        <v>153</v>
      </c>
      <c r="C499" t="s">
        <v>154</v>
      </c>
      <c r="D499">
        <v>1</v>
      </c>
      <c r="E499" t="s">
        <v>55</v>
      </c>
      <c r="F499" t="s">
        <v>56</v>
      </c>
      <c r="G499">
        <v>37</v>
      </c>
      <c r="H499">
        <v>34</v>
      </c>
      <c r="I499">
        <v>71</v>
      </c>
      <c r="J499">
        <f t="shared" si="21"/>
        <v>3</v>
      </c>
      <c r="K499" t="s">
        <v>20</v>
      </c>
      <c r="L499">
        <f t="shared" si="22"/>
        <v>1</v>
      </c>
      <c r="M499">
        <v>7</v>
      </c>
      <c r="N499">
        <v>3</v>
      </c>
      <c r="O499">
        <f t="shared" si="23"/>
        <v>1</v>
      </c>
    </row>
    <row r="500" spans="1:15" x14ac:dyDescent="0.3">
      <c r="A500" t="s">
        <v>15</v>
      </c>
      <c r="B500" t="s">
        <v>153</v>
      </c>
      <c r="C500" t="s">
        <v>154</v>
      </c>
      <c r="D500">
        <v>1</v>
      </c>
      <c r="E500" t="s">
        <v>57</v>
      </c>
      <c r="F500" t="s">
        <v>58</v>
      </c>
      <c r="G500">
        <v>37</v>
      </c>
      <c r="H500">
        <v>38</v>
      </c>
      <c r="I500">
        <v>75</v>
      </c>
      <c r="J500">
        <f t="shared" si="21"/>
        <v>-1</v>
      </c>
      <c r="K500" t="s">
        <v>20</v>
      </c>
      <c r="L500">
        <f t="shared" si="22"/>
        <v>1</v>
      </c>
      <c r="M500">
        <v>8</v>
      </c>
      <c r="N500">
        <v>4</v>
      </c>
      <c r="O500">
        <f t="shared" si="23"/>
        <v>1</v>
      </c>
    </row>
    <row r="501" spans="1:15" x14ac:dyDescent="0.3">
      <c r="A501" t="s">
        <v>15</v>
      </c>
      <c r="B501" t="s">
        <v>157</v>
      </c>
      <c r="C501" t="s">
        <v>158</v>
      </c>
      <c r="D501">
        <v>2</v>
      </c>
      <c r="E501" t="s">
        <v>18</v>
      </c>
      <c r="F501" t="s">
        <v>19</v>
      </c>
      <c r="G501">
        <v>42</v>
      </c>
      <c r="H501">
        <v>34</v>
      </c>
      <c r="I501">
        <v>76</v>
      </c>
      <c r="J501">
        <f t="shared" si="21"/>
        <v>8</v>
      </c>
      <c r="K501" t="s">
        <v>20</v>
      </c>
      <c r="L501">
        <f t="shared" si="22"/>
        <v>1</v>
      </c>
      <c r="M501">
        <v>8</v>
      </c>
      <c r="N501">
        <v>4</v>
      </c>
      <c r="O501">
        <f t="shared" si="23"/>
        <v>1</v>
      </c>
    </row>
    <row r="502" spans="1:15" x14ac:dyDescent="0.3">
      <c r="A502" t="s">
        <v>15</v>
      </c>
      <c r="B502" t="s">
        <v>157</v>
      </c>
      <c r="C502" t="s">
        <v>158</v>
      </c>
      <c r="D502">
        <v>2</v>
      </c>
      <c r="E502" t="s">
        <v>21</v>
      </c>
      <c r="F502" t="s">
        <v>22</v>
      </c>
      <c r="G502">
        <v>34</v>
      </c>
      <c r="H502">
        <v>31</v>
      </c>
      <c r="I502">
        <v>65</v>
      </c>
      <c r="J502">
        <f t="shared" si="21"/>
        <v>3</v>
      </c>
      <c r="K502" t="s">
        <v>20</v>
      </c>
      <c r="L502">
        <f t="shared" si="22"/>
        <v>1</v>
      </c>
      <c r="M502">
        <v>7</v>
      </c>
      <c r="N502">
        <v>4</v>
      </c>
      <c r="O502">
        <f t="shared" si="23"/>
        <v>1</v>
      </c>
    </row>
    <row r="503" spans="1:15" x14ac:dyDescent="0.3">
      <c r="A503" t="s">
        <v>15</v>
      </c>
      <c r="B503" t="s">
        <v>157</v>
      </c>
      <c r="C503" t="s">
        <v>158</v>
      </c>
      <c r="D503">
        <v>2</v>
      </c>
      <c r="E503" t="s">
        <v>41</v>
      </c>
      <c r="F503" t="s">
        <v>42</v>
      </c>
      <c r="G503">
        <v>10</v>
      </c>
      <c r="H503">
        <v>35</v>
      </c>
      <c r="I503">
        <v>45</v>
      </c>
      <c r="J503">
        <f t="shared" si="21"/>
        <v>-25</v>
      </c>
      <c r="K503" t="s">
        <v>87</v>
      </c>
      <c r="L503">
        <f t="shared" si="22"/>
        <v>0</v>
      </c>
      <c r="M503">
        <v>0</v>
      </c>
      <c r="N503">
        <v>3</v>
      </c>
      <c r="O503">
        <f t="shared" si="23"/>
        <v>1</v>
      </c>
    </row>
    <row r="504" spans="1:15" x14ac:dyDescent="0.3">
      <c r="A504" t="s">
        <v>15</v>
      </c>
      <c r="B504" t="s">
        <v>157</v>
      </c>
      <c r="C504" t="s">
        <v>158</v>
      </c>
      <c r="D504">
        <v>2</v>
      </c>
      <c r="E504" t="s">
        <v>23</v>
      </c>
      <c r="F504" t="s">
        <v>24</v>
      </c>
      <c r="G504">
        <v>80</v>
      </c>
      <c r="H504">
        <v>0</v>
      </c>
      <c r="I504">
        <v>80</v>
      </c>
      <c r="J504">
        <f t="shared" si="21"/>
        <v>0</v>
      </c>
      <c r="K504" t="s">
        <v>20</v>
      </c>
      <c r="L504">
        <f t="shared" si="22"/>
        <v>1</v>
      </c>
      <c r="M504">
        <v>8</v>
      </c>
      <c r="N504">
        <v>1</v>
      </c>
      <c r="O504">
        <f t="shared" si="23"/>
        <v>0</v>
      </c>
    </row>
    <row r="505" spans="1:15" x14ac:dyDescent="0.3">
      <c r="A505" t="s">
        <v>15</v>
      </c>
      <c r="B505" t="s">
        <v>157</v>
      </c>
      <c r="C505" t="s">
        <v>158</v>
      </c>
      <c r="D505">
        <v>2</v>
      </c>
      <c r="E505" t="s">
        <v>25</v>
      </c>
      <c r="F505" t="s">
        <v>26</v>
      </c>
      <c r="G505">
        <v>40</v>
      </c>
      <c r="H505">
        <v>32</v>
      </c>
      <c r="I505">
        <v>72</v>
      </c>
      <c r="J505">
        <f t="shared" si="21"/>
        <v>8</v>
      </c>
      <c r="K505" t="s">
        <v>20</v>
      </c>
      <c r="L505">
        <f t="shared" si="22"/>
        <v>1</v>
      </c>
      <c r="M505">
        <v>7</v>
      </c>
      <c r="N505">
        <v>1</v>
      </c>
      <c r="O505">
        <f t="shared" si="23"/>
        <v>1</v>
      </c>
    </row>
    <row r="506" spans="1:15" x14ac:dyDescent="0.3">
      <c r="A506" t="s">
        <v>15</v>
      </c>
      <c r="B506" t="s">
        <v>157</v>
      </c>
      <c r="C506" t="s">
        <v>158</v>
      </c>
      <c r="D506">
        <v>2</v>
      </c>
      <c r="E506" t="s">
        <v>27</v>
      </c>
      <c r="F506" t="s">
        <v>28</v>
      </c>
      <c r="G506">
        <v>27</v>
      </c>
      <c r="H506">
        <v>38</v>
      </c>
      <c r="I506">
        <v>65</v>
      </c>
      <c r="J506">
        <f t="shared" si="21"/>
        <v>-11</v>
      </c>
      <c r="K506" t="s">
        <v>20</v>
      </c>
      <c r="L506">
        <f t="shared" si="22"/>
        <v>1</v>
      </c>
      <c r="M506">
        <v>7</v>
      </c>
      <c r="N506">
        <v>2</v>
      </c>
      <c r="O506">
        <f t="shared" si="23"/>
        <v>1</v>
      </c>
    </row>
    <row r="507" spans="1:15" x14ac:dyDescent="0.3">
      <c r="A507" t="s">
        <v>15</v>
      </c>
      <c r="B507" t="s">
        <v>157</v>
      </c>
      <c r="C507" t="s">
        <v>158</v>
      </c>
      <c r="D507">
        <v>2</v>
      </c>
      <c r="E507" t="s">
        <v>109</v>
      </c>
      <c r="F507" t="s">
        <v>110</v>
      </c>
      <c r="G507">
        <v>65</v>
      </c>
      <c r="H507">
        <v>0</v>
      </c>
      <c r="I507">
        <v>65</v>
      </c>
      <c r="J507">
        <f t="shared" si="21"/>
        <v>0</v>
      </c>
      <c r="K507" t="s">
        <v>20</v>
      </c>
      <c r="L507">
        <f t="shared" si="22"/>
        <v>1</v>
      </c>
      <c r="M507">
        <v>7</v>
      </c>
      <c r="N507">
        <v>1</v>
      </c>
      <c r="O507">
        <f t="shared" si="23"/>
        <v>0</v>
      </c>
    </row>
    <row r="508" spans="1:15" x14ac:dyDescent="0.3">
      <c r="A508" t="s">
        <v>15</v>
      </c>
      <c r="B508" t="s">
        <v>157</v>
      </c>
      <c r="C508" t="s">
        <v>158</v>
      </c>
      <c r="D508">
        <v>2</v>
      </c>
      <c r="E508" t="s">
        <v>31</v>
      </c>
      <c r="F508" t="s">
        <v>32</v>
      </c>
      <c r="G508">
        <v>94</v>
      </c>
      <c r="H508">
        <v>0</v>
      </c>
      <c r="I508">
        <v>94</v>
      </c>
      <c r="J508">
        <f t="shared" si="21"/>
        <v>0</v>
      </c>
      <c r="K508" t="s">
        <v>20</v>
      </c>
      <c r="L508">
        <f t="shared" si="22"/>
        <v>1</v>
      </c>
      <c r="M508">
        <v>10</v>
      </c>
      <c r="N508">
        <v>1</v>
      </c>
      <c r="O508">
        <f t="shared" si="23"/>
        <v>0</v>
      </c>
    </row>
    <row r="509" spans="1:15" x14ac:dyDescent="0.3">
      <c r="A509" t="s">
        <v>15</v>
      </c>
      <c r="B509" t="s">
        <v>157</v>
      </c>
      <c r="C509" t="s">
        <v>158</v>
      </c>
      <c r="D509">
        <v>2</v>
      </c>
      <c r="E509" t="s">
        <v>33</v>
      </c>
      <c r="F509" t="s">
        <v>34</v>
      </c>
      <c r="G509">
        <v>40</v>
      </c>
      <c r="H509">
        <v>29</v>
      </c>
      <c r="I509">
        <v>69</v>
      </c>
      <c r="J509">
        <f t="shared" si="21"/>
        <v>11</v>
      </c>
      <c r="K509" t="s">
        <v>20</v>
      </c>
      <c r="L509">
        <f t="shared" si="22"/>
        <v>1</v>
      </c>
      <c r="M509">
        <v>8</v>
      </c>
      <c r="N509">
        <v>4</v>
      </c>
      <c r="O509">
        <f t="shared" si="23"/>
        <v>1</v>
      </c>
    </row>
    <row r="510" spans="1:15" x14ac:dyDescent="0.3">
      <c r="A510" t="s">
        <v>15</v>
      </c>
      <c r="B510" t="s">
        <v>157</v>
      </c>
      <c r="C510" t="s">
        <v>158</v>
      </c>
      <c r="D510">
        <v>2</v>
      </c>
      <c r="E510" t="s">
        <v>35</v>
      </c>
      <c r="F510" t="s">
        <v>36</v>
      </c>
      <c r="G510">
        <v>21</v>
      </c>
      <c r="H510">
        <v>31</v>
      </c>
      <c r="I510">
        <v>52</v>
      </c>
      <c r="J510">
        <f t="shared" si="21"/>
        <v>-10</v>
      </c>
      <c r="K510" t="s">
        <v>20</v>
      </c>
      <c r="L510">
        <f t="shared" si="22"/>
        <v>1</v>
      </c>
      <c r="M510">
        <v>5</v>
      </c>
      <c r="N510">
        <v>3</v>
      </c>
      <c r="O510">
        <f t="shared" si="23"/>
        <v>1</v>
      </c>
    </row>
    <row r="511" spans="1:15" x14ac:dyDescent="0.3">
      <c r="A511" t="s">
        <v>15</v>
      </c>
      <c r="B511" t="s">
        <v>157</v>
      </c>
      <c r="C511" t="s">
        <v>158</v>
      </c>
      <c r="D511">
        <v>2</v>
      </c>
      <c r="E511" t="s">
        <v>37</v>
      </c>
      <c r="F511" t="s">
        <v>38</v>
      </c>
      <c r="G511">
        <v>32</v>
      </c>
      <c r="H511">
        <v>46</v>
      </c>
      <c r="I511">
        <v>78</v>
      </c>
      <c r="J511">
        <f t="shared" si="21"/>
        <v>-14</v>
      </c>
      <c r="K511" t="s">
        <v>20</v>
      </c>
      <c r="L511">
        <f t="shared" si="22"/>
        <v>1</v>
      </c>
      <c r="M511">
        <v>8</v>
      </c>
      <c r="N511">
        <v>3</v>
      </c>
      <c r="O511">
        <f t="shared" si="23"/>
        <v>1</v>
      </c>
    </row>
    <row r="512" spans="1:15" x14ac:dyDescent="0.3">
      <c r="A512" t="s">
        <v>15</v>
      </c>
      <c r="B512" t="s">
        <v>157</v>
      </c>
      <c r="C512" t="s">
        <v>158</v>
      </c>
      <c r="D512">
        <v>1</v>
      </c>
      <c r="E512" t="s">
        <v>39</v>
      </c>
      <c r="F512" t="s">
        <v>40</v>
      </c>
      <c r="G512">
        <v>90</v>
      </c>
      <c r="H512">
        <v>0</v>
      </c>
      <c r="I512">
        <v>90</v>
      </c>
      <c r="J512">
        <f t="shared" si="21"/>
        <v>0</v>
      </c>
      <c r="K512" t="s">
        <v>20</v>
      </c>
      <c r="L512">
        <f t="shared" si="22"/>
        <v>1</v>
      </c>
      <c r="M512">
        <v>9</v>
      </c>
      <c r="N512">
        <v>1</v>
      </c>
      <c r="O512">
        <f t="shared" si="23"/>
        <v>0</v>
      </c>
    </row>
    <row r="513" spans="1:15" x14ac:dyDescent="0.3">
      <c r="A513" t="s">
        <v>15</v>
      </c>
      <c r="B513" t="s">
        <v>157</v>
      </c>
      <c r="C513" t="s">
        <v>158</v>
      </c>
      <c r="D513">
        <v>1</v>
      </c>
      <c r="E513" t="s">
        <v>41</v>
      </c>
      <c r="F513" t="s">
        <v>42</v>
      </c>
      <c r="G513">
        <v>10</v>
      </c>
      <c r="H513">
        <v>14</v>
      </c>
      <c r="I513">
        <v>24</v>
      </c>
      <c r="J513">
        <f t="shared" si="21"/>
        <v>-4</v>
      </c>
      <c r="K513" t="s">
        <v>87</v>
      </c>
      <c r="L513">
        <f t="shared" si="22"/>
        <v>0</v>
      </c>
      <c r="M513">
        <v>0</v>
      </c>
      <c r="N513">
        <v>3</v>
      </c>
      <c r="O513">
        <f t="shared" si="23"/>
        <v>1</v>
      </c>
    </row>
    <row r="514" spans="1:15" x14ac:dyDescent="0.3">
      <c r="A514" t="s">
        <v>15</v>
      </c>
      <c r="B514" t="s">
        <v>157</v>
      </c>
      <c r="C514" t="s">
        <v>158</v>
      </c>
      <c r="D514">
        <v>1</v>
      </c>
      <c r="E514" t="s">
        <v>43</v>
      </c>
      <c r="F514" t="s">
        <v>44</v>
      </c>
      <c r="G514">
        <v>86</v>
      </c>
      <c r="H514">
        <v>0</v>
      </c>
      <c r="I514">
        <v>86</v>
      </c>
      <c r="J514">
        <f t="shared" ref="J514:J577" si="24">IF(H514=0,0,G514-H514)</f>
        <v>0</v>
      </c>
      <c r="K514" t="s">
        <v>20</v>
      </c>
      <c r="L514">
        <f t="shared" ref="L514:L577" si="25">IF(K514="Pass",1,0)</f>
        <v>1</v>
      </c>
      <c r="M514">
        <v>9</v>
      </c>
      <c r="N514">
        <v>1</v>
      </c>
      <c r="O514">
        <f t="shared" ref="O514:O577" si="26">IF(H514=0,0,1)</f>
        <v>0</v>
      </c>
    </row>
    <row r="515" spans="1:15" x14ac:dyDescent="0.3">
      <c r="A515" t="s">
        <v>15</v>
      </c>
      <c r="B515" t="s">
        <v>157</v>
      </c>
      <c r="C515" t="s">
        <v>158</v>
      </c>
      <c r="D515">
        <v>1</v>
      </c>
      <c r="E515" t="s">
        <v>45</v>
      </c>
      <c r="F515" t="s">
        <v>46</v>
      </c>
      <c r="G515">
        <v>33</v>
      </c>
      <c r="H515">
        <v>53</v>
      </c>
      <c r="I515">
        <v>86</v>
      </c>
      <c r="J515">
        <f t="shared" si="24"/>
        <v>-20</v>
      </c>
      <c r="K515" t="s">
        <v>20</v>
      </c>
      <c r="L515">
        <f t="shared" si="25"/>
        <v>1</v>
      </c>
      <c r="M515">
        <v>9</v>
      </c>
      <c r="N515">
        <v>1</v>
      </c>
      <c r="O515">
        <f t="shared" si="26"/>
        <v>1</v>
      </c>
    </row>
    <row r="516" spans="1:15" x14ac:dyDescent="0.3">
      <c r="A516" t="s">
        <v>15</v>
      </c>
      <c r="B516" t="s">
        <v>157</v>
      </c>
      <c r="C516" t="s">
        <v>158</v>
      </c>
      <c r="D516">
        <v>1</v>
      </c>
      <c r="E516" t="s">
        <v>71</v>
      </c>
      <c r="F516" t="s">
        <v>72</v>
      </c>
      <c r="G516">
        <v>96</v>
      </c>
      <c r="H516">
        <v>0</v>
      </c>
      <c r="I516">
        <v>96</v>
      </c>
      <c r="J516">
        <f t="shared" si="24"/>
        <v>0</v>
      </c>
      <c r="K516" t="s">
        <v>20</v>
      </c>
      <c r="L516">
        <f t="shared" si="25"/>
        <v>1</v>
      </c>
      <c r="M516">
        <v>10</v>
      </c>
      <c r="N516">
        <v>1</v>
      </c>
      <c r="O516">
        <f t="shared" si="26"/>
        <v>0</v>
      </c>
    </row>
    <row r="517" spans="1:15" x14ac:dyDescent="0.3">
      <c r="A517" t="s">
        <v>15</v>
      </c>
      <c r="B517" t="s">
        <v>157</v>
      </c>
      <c r="C517" t="s">
        <v>158</v>
      </c>
      <c r="D517">
        <v>1</v>
      </c>
      <c r="E517" t="s">
        <v>49</v>
      </c>
      <c r="F517" t="s">
        <v>50</v>
      </c>
      <c r="G517">
        <v>80</v>
      </c>
      <c r="H517">
        <v>0</v>
      </c>
      <c r="I517">
        <v>80</v>
      </c>
      <c r="J517">
        <f t="shared" si="24"/>
        <v>0</v>
      </c>
      <c r="K517" t="s">
        <v>20</v>
      </c>
      <c r="L517">
        <f t="shared" si="25"/>
        <v>1</v>
      </c>
      <c r="M517">
        <v>8</v>
      </c>
      <c r="N517">
        <v>1</v>
      </c>
      <c r="O517">
        <f t="shared" si="26"/>
        <v>0</v>
      </c>
    </row>
    <row r="518" spans="1:15" x14ac:dyDescent="0.3">
      <c r="A518" t="s">
        <v>15</v>
      </c>
      <c r="B518" t="s">
        <v>157</v>
      </c>
      <c r="C518" t="s">
        <v>158</v>
      </c>
      <c r="D518">
        <v>1</v>
      </c>
      <c r="E518" t="s">
        <v>51</v>
      </c>
      <c r="F518" t="s">
        <v>52</v>
      </c>
      <c r="G518">
        <v>86</v>
      </c>
      <c r="H518">
        <v>0</v>
      </c>
      <c r="I518">
        <v>86</v>
      </c>
      <c r="J518">
        <f t="shared" si="24"/>
        <v>0</v>
      </c>
      <c r="K518" t="s">
        <v>20</v>
      </c>
      <c r="L518">
        <f t="shared" si="25"/>
        <v>1</v>
      </c>
      <c r="M518">
        <v>9</v>
      </c>
      <c r="N518">
        <v>1</v>
      </c>
      <c r="O518">
        <f t="shared" si="26"/>
        <v>0</v>
      </c>
    </row>
    <row r="519" spans="1:15" x14ac:dyDescent="0.3">
      <c r="A519" t="s">
        <v>15</v>
      </c>
      <c r="B519" t="s">
        <v>157</v>
      </c>
      <c r="C519" t="s">
        <v>158</v>
      </c>
      <c r="D519">
        <v>1</v>
      </c>
      <c r="E519" t="s">
        <v>53</v>
      </c>
      <c r="F519" t="s">
        <v>54</v>
      </c>
      <c r="G519">
        <v>41</v>
      </c>
      <c r="H519">
        <v>30</v>
      </c>
      <c r="I519">
        <v>71</v>
      </c>
      <c r="J519">
        <f t="shared" si="24"/>
        <v>11</v>
      </c>
      <c r="K519" t="s">
        <v>20</v>
      </c>
      <c r="L519">
        <f t="shared" si="25"/>
        <v>1</v>
      </c>
      <c r="M519">
        <v>7</v>
      </c>
      <c r="N519">
        <v>4</v>
      </c>
      <c r="O519">
        <f t="shared" si="26"/>
        <v>1</v>
      </c>
    </row>
    <row r="520" spans="1:15" x14ac:dyDescent="0.3">
      <c r="A520" t="s">
        <v>15</v>
      </c>
      <c r="B520" t="s">
        <v>157</v>
      </c>
      <c r="C520" t="s">
        <v>158</v>
      </c>
      <c r="D520">
        <v>1</v>
      </c>
      <c r="E520" t="s">
        <v>55</v>
      </c>
      <c r="F520" t="s">
        <v>56</v>
      </c>
      <c r="G520">
        <v>38</v>
      </c>
      <c r="H520">
        <v>40</v>
      </c>
      <c r="I520">
        <v>78</v>
      </c>
      <c r="J520">
        <f t="shared" si="24"/>
        <v>-2</v>
      </c>
      <c r="K520" t="s">
        <v>20</v>
      </c>
      <c r="L520">
        <f t="shared" si="25"/>
        <v>1</v>
      </c>
      <c r="M520">
        <v>8</v>
      </c>
      <c r="N520">
        <v>3</v>
      </c>
      <c r="O520">
        <f t="shared" si="26"/>
        <v>1</v>
      </c>
    </row>
    <row r="521" spans="1:15" x14ac:dyDescent="0.3">
      <c r="A521" t="s">
        <v>15</v>
      </c>
      <c r="B521" t="s">
        <v>157</v>
      </c>
      <c r="C521" t="s">
        <v>158</v>
      </c>
      <c r="D521">
        <v>1</v>
      </c>
      <c r="E521" t="s">
        <v>57</v>
      </c>
      <c r="F521" t="s">
        <v>58</v>
      </c>
      <c r="G521">
        <v>34</v>
      </c>
      <c r="H521">
        <v>28</v>
      </c>
      <c r="I521">
        <v>62</v>
      </c>
      <c r="J521">
        <f t="shared" si="24"/>
        <v>6</v>
      </c>
      <c r="K521" t="s">
        <v>20</v>
      </c>
      <c r="L521">
        <f t="shared" si="25"/>
        <v>1</v>
      </c>
      <c r="M521">
        <v>7</v>
      </c>
      <c r="N521">
        <v>4</v>
      </c>
      <c r="O521">
        <f t="shared" si="26"/>
        <v>1</v>
      </c>
    </row>
    <row r="522" spans="1:15" x14ac:dyDescent="0.3">
      <c r="A522" t="s">
        <v>15</v>
      </c>
      <c r="B522" t="s">
        <v>159</v>
      </c>
      <c r="C522" t="s">
        <v>160</v>
      </c>
      <c r="D522">
        <v>2</v>
      </c>
      <c r="E522" t="s">
        <v>21</v>
      </c>
      <c r="F522" t="s">
        <v>22</v>
      </c>
      <c r="G522">
        <v>26</v>
      </c>
      <c r="H522">
        <v>0</v>
      </c>
      <c r="I522">
        <v>0</v>
      </c>
      <c r="J522">
        <f t="shared" si="24"/>
        <v>0</v>
      </c>
      <c r="K522" t="s">
        <v>100</v>
      </c>
      <c r="L522">
        <f t="shared" si="25"/>
        <v>0</v>
      </c>
      <c r="M522">
        <v>0</v>
      </c>
      <c r="N522">
        <v>4</v>
      </c>
      <c r="O522">
        <f t="shared" si="26"/>
        <v>0</v>
      </c>
    </row>
    <row r="523" spans="1:15" x14ac:dyDescent="0.3">
      <c r="A523" t="s">
        <v>15</v>
      </c>
      <c r="B523" t="s">
        <v>159</v>
      </c>
      <c r="C523" t="s">
        <v>160</v>
      </c>
      <c r="D523">
        <v>2</v>
      </c>
      <c r="E523" t="s">
        <v>92</v>
      </c>
      <c r="F523" t="s">
        <v>93</v>
      </c>
      <c r="G523">
        <v>6</v>
      </c>
      <c r="H523">
        <v>0</v>
      </c>
      <c r="I523">
        <v>6</v>
      </c>
      <c r="J523">
        <f t="shared" si="24"/>
        <v>0</v>
      </c>
      <c r="K523" t="s">
        <v>87</v>
      </c>
      <c r="L523">
        <f t="shared" si="25"/>
        <v>0</v>
      </c>
      <c r="M523">
        <v>0</v>
      </c>
      <c r="N523">
        <v>1</v>
      </c>
      <c r="O523">
        <f t="shared" si="26"/>
        <v>0</v>
      </c>
    </row>
    <row r="524" spans="1:15" x14ac:dyDescent="0.3">
      <c r="A524" t="s">
        <v>15</v>
      </c>
      <c r="B524" t="s">
        <v>159</v>
      </c>
      <c r="C524" t="s">
        <v>160</v>
      </c>
      <c r="D524">
        <v>2</v>
      </c>
      <c r="E524" t="s">
        <v>18</v>
      </c>
      <c r="F524" t="s">
        <v>19</v>
      </c>
      <c r="G524">
        <v>34</v>
      </c>
      <c r="H524">
        <v>27</v>
      </c>
      <c r="I524">
        <v>61</v>
      </c>
      <c r="J524">
        <f t="shared" si="24"/>
        <v>7</v>
      </c>
      <c r="K524" t="s">
        <v>20</v>
      </c>
      <c r="L524">
        <f t="shared" si="25"/>
        <v>1</v>
      </c>
      <c r="M524">
        <v>6</v>
      </c>
      <c r="N524">
        <v>4</v>
      </c>
      <c r="O524">
        <f t="shared" si="26"/>
        <v>1</v>
      </c>
    </row>
    <row r="525" spans="1:15" x14ac:dyDescent="0.3">
      <c r="A525" t="s">
        <v>15</v>
      </c>
      <c r="B525" t="s">
        <v>159</v>
      </c>
      <c r="C525" t="s">
        <v>160</v>
      </c>
      <c r="D525">
        <v>2</v>
      </c>
      <c r="E525" t="s">
        <v>23</v>
      </c>
      <c r="F525" t="s">
        <v>24</v>
      </c>
      <c r="G525">
        <v>73</v>
      </c>
      <c r="H525">
        <v>0</v>
      </c>
      <c r="I525">
        <v>73</v>
      </c>
      <c r="J525">
        <f t="shared" si="24"/>
        <v>0</v>
      </c>
      <c r="K525" t="s">
        <v>20</v>
      </c>
      <c r="L525">
        <f t="shared" si="25"/>
        <v>1</v>
      </c>
      <c r="M525">
        <v>8</v>
      </c>
      <c r="N525">
        <v>1</v>
      </c>
      <c r="O525">
        <f t="shared" si="26"/>
        <v>0</v>
      </c>
    </row>
    <row r="526" spans="1:15" x14ac:dyDescent="0.3">
      <c r="A526" t="s">
        <v>15</v>
      </c>
      <c r="B526" t="s">
        <v>159</v>
      </c>
      <c r="C526" t="s">
        <v>160</v>
      </c>
      <c r="D526">
        <v>2</v>
      </c>
      <c r="E526" t="s">
        <v>25</v>
      </c>
      <c r="F526" t="s">
        <v>26</v>
      </c>
      <c r="G526">
        <v>25</v>
      </c>
      <c r="H526">
        <v>27</v>
      </c>
      <c r="I526">
        <v>52</v>
      </c>
      <c r="J526">
        <f t="shared" si="24"/>
        <v>-2</v>
      </c>
      <c r="K526" t="s">
        <v>20</v>
      </c>
      <c r="L526">
        <f t="shared" si="25"/>
        <v>1</v>
      </c>
      <c r="M526">
        <v>5</v>
      </c>
      <c r="N526">
        <v>1</v>
      </c>
      <c r="O526">
        <f t="shared" si="26"/>
        <v>1</v>
      </c>
    </row>
    <row r="527" spans="1:15" x14ac:dyDescent="0.3">
      <c r="A527" t="s">
        <v>15</v>
      </c>
      <c r="B527" t="s">
        <v>159</v>
      </c>
      <c r="C527" t="s">
        <v>160</v>
      </c>
      <c r="D527">
        <v>2</v>
      </c>
      <c r="E527" t="s">
        <v>27</v>
      </c>
      <c r="F527" t="s">
        <v>28</v>
      </c>
      <c r="G527">
        <v>21</v>
      </c>
      <c r="H527">
        <v>34</v>
      </c>
      <c r="I527">
        <v>55</v>
      </c>
      <c r="J527">
        <f t="shared" si="24"/>
        <v>-13</v>
      </c>
      <c r="K527" t="s">
        <v>20</v>
      </c>
      <c r="L527">
        <f t="shared" si="25"/>
        <v>1</v>
      </c>
      <c r="M527">
        <v>5</v>
      </c>
      <c r="N527">
        <v>2</v>
      </c>
      <c r="O527">
        <f t="shared" si="26"/>
        <v>1</v>
      </c>
    </row>
    <row r="528" spans="1:15" x14ac:dyDescent="0.3">
      <c r="A528" t="s">
        <v>15</v>
      </c>
      <c r="B528" t="s">
        <v>159</v>
      </c>
      <c r="C528" t="s">
        <v>160</v>
      </c>
      <c r="D528">
        <v>2</v>
      </c>
      <c r="E528" t="s">
        <v>31</v>
      </c>
      <c r="F528" t="s">
        <v>32</v>
      </c>
      <c r="G528">
        <v>94</v>
      </c>
      <c r="H528">
        <v>0</v>
      </c>
      <c r="I528">
        <v>94</v>
      </c>
      <c r="J528">
        <f t="shared" si="24"/>
        <v>0</v>
      </c>
      <c r="K528" t="s">
        <v>20</v>
      </c>
      <c r="L528">
        <f t="shared" si="25"/>
        <v>1</v>
      </c>
      <c r="M528">
        <v>10</v>
      </c>
      <c r="N528">
        <v>1</v>
      </c>
      <c r="O528">
        <f t="shared" si="26"/>
        <v>0</v>
      </c>
    </row>
    <row r="529" spans="1:15" x14ac:dyDescent="0.3">
      <c r="A529" t="s">
        <v>15</v>
      </c>
      <c r="B529" t="s">
        <v>159</v>
      </c>
      <c r="C529" t="s">
        <v>160</v>
      </c>
      <c r="D529">
        <v>2</v>
      </c>
      <c r="E529" t="s">
        <v>33</v>
      </c>
      <c r="F529" t="s">
        <v>34</v>
      </c>
      <c r="G529">
        <v>32</v>
      </c>
      <c r="H529">
        <v>25</v>
      </c>
      <c r="I529">
        <v>57</v>
      </c>
      <c r="J529">
        <f t="shared" si="24"/>
        <v>7</v>
      </c>
      <c r="K529" t="s">
        <v>20</v>
      </c>
      <c r="L529">
        <f t="shared" si="25"/>
        <v>1</v>
      </c>
      <c r="M529">
        <v>6</v>
      </c>
      <c r="N529">
        <v>4</v>
      </c>
      <c r="O529">
        <f t="shared" si="26"/>
        <v>1</v>
      </c>
    </row>
    <row r="530" spans="1:15" x14ac:dyDescent="0.3">
      <c r="A530" t="s">
        <v>15</v>
      </c>
      <c r="B530" t="s">
        <v>159</v>
      </c>
      <c r="C530" t="s">
        <v>160</v>
      </c>
      <c r="D530">
        <v>2</v>
      </c>
      <c r="E530" t="s">
        <v>35</v>
      </c>
      <c r="F530" t="s">
        <v>36</v>
      </c>
      <c r="G530">
        <v>21</v>
      </c>
      <c r="H530">
        <v>33</v>
      </c>
      <c r="I530">
        <v>54</v>
      </c>
      <c r="J530">
        <f t="shared" si="24"/>
        <v>-12</v>
      </c>
      <c r="K530" t="s">
        <v>20</v>
      </c>
      <c r="L530">
        <f t="shared" si="25"/>
        <v>1</v>
      </c>
      <c r="M530">
        <v>5</v>
      </c>
      <c r="N530">
        <v>3</v>
      </c>
      <c r="O530">
        <f t="shared" si="26"/>
        <v>1</v>
      </c>
    </row>
    <row r="531" spans="1:15" x14ac:dyDescent="0.3">
      <c r="A531" t="s">
        <v>15</v>
      </c>
      <c r="B531" t="s">
        <v>159</v>
      </c>
      <c r="C531" t="s">
        <v>160</v>
      </c>
      <c r="D531">
        <v>2</v>
      </c>
      <c r="E531" t="s">
        <v>37</v>
      </c>
      <c r="F531" t="s">
        <v>38</v>
      </c>
      <c r="G531">
        <v>20</v>
      </c>
      <c r="H531">
        <v>32</v>
      </c>
      <c r="I531">
        <v>52</v>
      </c>
      <c r="J531">
        <f t="shared" si="24"/>
        <v>-12</v>
      </c>
      <c r="K531" t="s">
        <v>20</v>
      </c>
      <c r="L531">
        <f t="shared" si="25"/>
        <v>1</v>
      </c>
      <c r="M531">
        <v>5</v>
      </c>
      <c r="N531">
        <v>3</v>
      </c>
      <c r="O531">
        <f t="shared" si="26"/>
        <v>1</v>
      </c>
    </row>
    <row r="532" spans="1:15" x14ac:dyDescent="0.3">
      <c r="A532" t="s">
        <v>15</v>
      </c>
      <c r="B532" t="s">
        <v>159</v>
      </c>
      <c r="C532" t="s">
        <v>160</v>
      </c>
      <c r="D532">
        <v>1</v>
      </c>
      <c r="E532" t="s">
        <v>39</v>
      </c>
      <c r="F532" t="s">
        <v>40</v>
      </c>
      <c r="G532">
        <v>96</v>
      </c>
      <c r="H532">
        <v>0</v>
      </c>
      <c r="I532">
        <v>96</v>
      </c>
      <c r="J532">
        <f t="shared" si="24"/>
        <v>0</v>
      </c>
      <c r="K532" t="s">
        <v>20</v>
      </c>
      <c r="L532">
        <f t="shared" si="25"/>
        <v>1</v>
      </c>
      <c r="M532">
        <v>10</v>
      </c>
      <c r="N532">
        <v>1</v>
      </c>
      <c r="O532">
        <f t="shared" si="26"/>
        <v>0</v>
      </c>
    </row>
    <row r="533" spans="1:15" x14ac:dyDescent="0.3">
      <c r="A533" t="s">
        <v>15</v>
      </c>
      <c r="B533" t="s">
        <v>159</v>
      </c>
      <c r="C533" t="s">
        <v>160</v>
      </c>
      <c r="D533">
        <v>1</v>
      </c>
      <c r="E533" t="s">
        <v>41</v>
      </c>
      <c r="F533" t="s">
        <v>42</v>
      </c>
      <c r="G533">
        <v>14</v>
      </c>
      <c r="H533">
        <v>36</v>
      </c>
      <c r="I533">
        <v>50</v>
      </c>
      <c r="J533">
        <f t="shared" si="24"/>
        <v>-22</v>
      </c>
      <c r="K533" t="s">
        <v>20</v>
      </c>
      <c r="L533">
        <f t="shared" si="25"/>
        <v>1</v>
      </c>
      <c r="M533">
        <v>5</v>
      </c>
      <c r="N533">
        <v>3</v>
      </c>
      <c r="O533">
        <f t="shared" si="26"/>
        <v>1</v>
      </c>
    </row>
    <row r="534" spans="1:15" x14ac:dyDescent="0.3">
      <c r="A534" t="s">
        <v>15</v>
      </c>
      <c r="B534" t="s">
        <v>159</v>
      </c>
      <c r="C534" t="s">
        <v>160</v>
      </c>
      <c r="D534">
        <v>1</v>
      </c>
      <c r="E534" t="s">
        <v>43</v>
      </c>
      <c r="F534" t="s">
        <v>44</v>
      </c>
      <c r="G534">
        <v>50</v>
      </c>
      <c r="H534">
        <v>0</v>
      </c>
      <c r="I534">
        <v>50</v>
      </c>
      <c r="J534">
        <f t="shared" si="24"/>
        <v>0</v>
      </c>
      <c r="K534" t="s">
        <v>20</v>
      </c>
      <c r="L534">
        <f t="shared" si="25"/>
        <v>1</v>
      </c>
      <c r="M534">
        <v>5</v>
      </c>
      <c r="N534">
        <v>1</v>
      </c>
      <c r="O534">
        <f t="shared" si="26"/>
        <v>0</v>
      </c>
    </row>
    <row r="535" spans="1:15" x14ac:dyDescent="0.3">
      <c r="A535" t="s">
        <v>15</v>
      </c>
      <c r="B535" t="s">
        <v>159</v>
      </c>
      <c r="C535" t="s">
        <v>160</v>
      </c>
      <c r="D535">
        <v>1</v>
      </c>
      <c r="E535" t="s">
        <v>45</v>
      </c>
      <c r="F535" t="s">
        <v>46</v>
      </c>
      <c r="G535">
        <v>24</v>
      </c>
      <c r="H535">
        <v>33</v>
      </c>
      <c r="I535">
        <v>57</v>
      </c>
      <c r="J535">
        <f t="shared" si="24"/>
        <v>-9</v>
      </c>
      <c r="K535" t="s">
        <v>20</v>
      </c>
      <c r="L535">
        <f t="shared" si="25"/>
        <v>1</v>
      </c>
      <c r="M535">
        <v>6</v>
      </c>
      <c r="N535">
        <v>1</v>
      </c>
      <c r="O535">
        <f t="shared" si="26"/>
        <v>1</v>
      </c>
    </row>
    <row r="536" spans="1:15" x14ac:dyDescent="0.3">
      <c r="A536" t="s">
        <v>15</v>
      </c>
      <c r="B536" t="s">
        <v>159</v>
      </c>
      <c r="C536" t="s">
        <v>160</v>
      </c>
      <c r="D536">
        <v>1</v>
      </c>
      <c r="E536" t="s">
        <v>161</v>
      </c>
      <c r="F536" t="s">
        <v>162</v>
      </c>
      <c r="G536">
        <v>85</v>
      </c>
      <c r="H536">
        <v>0</v>
      </c>
      <c r="I536">
        <v>85</v>
      </c>
      <c r="J536">
        <f t="shared" si="24"/>
        <v>0</v>
      </c>
      <c r="K536" t="s">
        <v>20</v>
      </c>
      <c r="L536">
        <f t="shared" si="25"/>
        <v>1</v>
      </c>
      <c r="M536">
        <v>9</v>
      </c>
      <c r="N536">
        <v>1</v>
      </c>
      <c r="O536">
        <f t="shared" si="26"/>
        <v>0</v>
      </c>
    </row>
    <row r="537" spans="1:15" x14ac:dyDescent="0.3">
      <c r="A537" t="s">
        <v>15</v>
      </c>
      <c r="B537" t="s">
        <v>159</v>
      </c>
      <c r="C537" t="s">
        <v>160</v>
      </c>
      <c r="D537">
        <v>1</v>
      </c>
      <c r="E537" t="s">
        <v>49</v>
      </c>
      <c r="F537" t="s">
        <v>50</v>
      </c>
      <c r="G537">
        <v>85</v>
      </c>
      <c r="H537">
        <v>0</v>
      </c>
      <c r="I537">
        <v>85</v>
      </c>
      <c r="J537">
        <f t="shared" si="24"/>
        <v>0</v>
      </c>
      <c r="K537" t="s">
        <v>20</v>
      </c>
      <c r="L537">
        <f t="shared" si="25"/>
        <v>1</v>
      </c>
      <c r="M537">
        <v>9</v>
      </c>
      <c r="N537">
        <v>1</v>
      </c>
      <c r="O537">
        <f t="shared" si="26"/>
        <v>0</v>
      </c>
    </row>
    <row r="538" spans="1:15" x14ac:dyDescent="0.3">
      <c r="A538" t="s">
        <v>15</v>
      </c>
      <c r="B538" t="s">
        <v>159</v>
      </c>
      <c r="C538" t="s">
        <v>160</v>
      </c>
      <c r="D538">
        <v>1</v>
      </c>
      <c r="E538" t="s">
        <v>51</v>
      </c>
      <c r="F538" t="s">
        <v>52</v>
      </c>
      <c r="G538">
        <v>88</v>
      </c>
      <c r="H538">
        <v>0</v>
      </c>
      <c r="I538">
        <v>88</v>
      </c>
      <c r="J538">
        <f t="shared" si="24"/>
        <v>0</v>
      </c>
      <c r="K538" t="s">
        <v>20</v>
      </c>
      <c r="L538">
        <f t="shared" si="25"/>
        <v>1</v>
      </c>
      <c r="M538">
        <v>9</v>
      </c>
      <c r="N538">
        <v>1</v>
      </c>
      <c r="O538">
        <f t="shared" si="26"/>
        <v>0</v>
      </c>
    </row>
    <row r="539" spans="1:15" x14ac:dyDescent="0.3">
      <c r="A539" t="s">
        <v>15</v>
      </c>
      <c r="B539" t="s">
        <v>159</v>
      </c>
      <c r="C539" t="s">
        <v>160</v>
      </c>
      <c r="D539">
        <v>1</v>
      </c>
      <c r="E539" t="s">
        <v>53</v>
      </c>
      <c r="F539" t="s">
        <v>54</v>
      </c>
      <c r="G539">
        <v>36</v>
      </c>
      <c r="H539">
        <v>36</v>
      </c>
      <c r="I539">
        <v>72</v>
      </c>
      <c r="J539">
        <f t="shared" si="24"/>
        <v>0</v>
      </c>
      <c r="K539" t="s">
        <v>20</v>
      </c>
      <c r="L539">
        <f t="shared" si="25"/>
        <v>1</v>
      </c>
      <c r="M539">
        <v>7</v>
      </c>
      <c r="N539">
        <v>4</v>
      </c>
      <c r="O539">
        <f t="shared" si="26"/>
        <v>1</v>
      </c>
    </row>
    <row r="540" spans="1:15" x14ac:dyDescent="0.3">
      <c r="A540" t="s">
        <v>15</v>
      </c>
      <c r="B540" t="s">
        <v>159</v>
      </c>
      <c r="C540" t="s">
        <v>160</v>
      </c>
      <c r="D540">
        <v>1</v>
      </c>
      <c r="E540" t="s">
        <v>55</v>
      </c>
      <c r="F540" t="s">
        <v>56</v>
      </c>
      <c r="G540">
        <v>33</v>
      </c>
      <c r="H540">
        <v>32</v>
      </c>
      <c r="I540">
        <v>65</v>
      </c>
      <c r="J540">
        <f t="shared" si="24"/>
        <v>1</v>
      </c>
      <c r="K540" t="s">
        <v>20</v>
      </c>
      <c r="L540">
        <f t="shared" si="25"/>
        <v>1</v>
      </c>
      <c r="M540">
        <v>7</v>
      </c>
      <c r="N540">
        <v>3</v>
      </c>
      <c r="O540">
        <f t="shared" si="26"/>
        <v>1</v>
      </c>
    </row>
    <row r="541" spans="1:15" x14ac:dyDescent="0.3">
      <c r="A541" t="s">
        <v>15</v>
      </c>
      <c r="B541" t="s">
        <v>159</v>
      </c>
      <c r="C541" t="s">
        <v>160</v>
      </c>
      <c r="D541">
        <v>1</v>
      </c>
      <c r="E541" t="s">
        <v>57</v>
      </c>
      <c r="F541" t="s">
        <v>58</v>
      </c>
      <c r="G541">
        <v>27</v>
      </c>
      <c r="H541">
        <v>26</v>
      </c>
      <c r="I541">
        <v>53</v>
      </c>
      <c r="J541">
        <f t="shared" si="24"/>
        <v>1</v>
      </c>
      <c r="K541" t="s">
        <v>20</v>
      </c>
      <c r="L541">
        <f t="shared" si="25"/>
        <v>1</v>
      </c>
      <c r="M541">
        <v>6</v>
      </c>
      <c r="N541">
        <v>4</v>
      </c>
      <c r="O541">
        <f t="shared" si="26"/>
        <v>1</v>
      </c>
    </row>
    <row r="542" spans="1:15" x14ac:dyDescent="0.3">
      <c r="A542" t="s">
        <v>15</v>
      </c>
      <c r="B542" t="s">
        <v>163</v>
      </c>
      <c r="C542" t="s">
        <v>164</v>
      </c>
      <c r="D542">
        <v>2</v>
      </c>
      <c r="E542" t="s">
        <v>25</v>
      </c>
      <c r="F542" t="s">
        <v>26</v>
      </c>
      <c r="G542">
        <v>23</v>
      </c>
      <c r="H542">
        <v>19</v>
      </c>
      <c r="I542">
        <v>42</v>
      </c>
      <c r="J542">
        <f t="shared" si="24"/>
        <v>4</v>
      </c>
      <c r="K542" t="s">
        <v>87</v>
      </c>
      <c r="L542">
        <f t="shared" si="25"/>
        <v>0</v>
      </c>
      <c r="M542">
        <v>0</v>
      </c>
      <c r="N542">
        <v>1</v>
      </c>
      <c r="O542">
        <f t="shared" si="26"/>
        <v>1</v>
      </c>
    </row>
    <row r="543" spans="1:15" x14ac:dyDescent="0.3">
      <c r="A543" t="s">
        <v>15</v>
      </c>
      <c r="B543" t="s">
        <v>163</v>
      </c>
      <c r="C543" t="s">
        <v>164</v>
      </c>
      <c r="D543">
        <v>2</v>
      </c>
      <c r="E543" t="s">
        <v>18</v>
      </c>
      <c r="F543" t="s">
        <v>19</v>
      </c>
      <c r="G543">
        <v>47</v>
      </c>
      <c r="H543">
        <v>24</v>
      </c>
      <c r="I543">
        <v>71</v>
      </c>
      <c r="J543">
        <f t="shared" si="24"/>
        <v>23</v>
      </c>
      <c r="K543" t="s">
        <v>20</v>
      </c>
      <c r="L543">
        <f t="shared" si="25"/>
        <v>1</v>
      </c>
      <c r="M543">
        <v>7</v>
      </c>
      <c r="N543">
        <v>4</v>
      </c>
      <c r="O543">
        <f t="shared" si="26"/>
        <v>1</v>
      </c>
    </row>
    <row r="544" spans="1:15" x14ac:dyDescent="0.3">
      <c r="A544" t="s">
        <v>15</v>
      </c>
      <c r="B544" t="s">
        <v>163</v>
      </c>
      <c r="C544" t="s">
        <v>164</v>
      </c>
      <c r="D544">
        <v>2</v>
      </c>
      <c r="E544" t="s">
        <v>21</v>
      </c>
      <c r="F544" t="s">
        <v>22</v>
      </c>
      <c r="G544">
        <v>37</v>
      </c>
      <c r="H544">
        <v>31</v>
      </c>
      <c r="I544">
        <v>68</v>
      </c>
      <c r="J544">
        <f t="shared" si="24"/>
        <v>6</v>
      </c>
      <c r="K544" t="s">
        <v>20</v>
      </c>
      <c r="L544">
        <f t="shared" si="25"/>
        <v>1</v>
      </c>
      <c r="M544">
        <v>7</v>
      </c>
      <c r="N544">
        <v>4</v>
      </c>
      <c r="O544">
        <f t="shared" si="26"/>
        <v>1</v>
      </c>
    </row>
    <row r="545" spans="1:15" x14ac:dyDescent="0.3">
      <c r="A545" t="s">
        <v>15</v>
      </c>
      <c r="B545" t="s">
        <v>163</v>
      </c>
      <c r="C545" t="s">
        <v>164</v>
      </c>
      <c r="D545">
        <v>2</v>
      </c>
      <c r="E545" t="s">
        <v>23</v>
      </c>
      <c r="F545" t="s">
        <v>24</v>
      </c>
      <c r="G545">
        <v>83</v>
      </c>
      <c r="H545">
        <v>0</v>
      </c>
      <c r="I545">
        <v>83</v>
      </c>
      <c r="J545">
        <f t="shared" si="24"/>
        <v>0</v>
      </c>
      <c r="K545" t="s">
        <v>20</v>
      </c>
      <c r="L545">
        <f t="shared" si="25"/>
        <v>1</v>
      </c>
      <c r="M545">
        <v>9</v>
      </c>
      <c r="N545">
        <v>1</v>
      </c>
      <c r="O545">
        <f t="shared" si="26"/>
        <v>0</v>
      </c>
    </row>
    <row r="546" spans="1:15" x14ac:dyDescent="0.3">
      <c r="A546" t="s">
        <v>15</v>
      </c>
      <c r="B546" t="s">
        <v>163</v>
      </c>
      <c r="C546" t="s">
        <v>164</v>
      </c>
      <c r="D546">
        <v>2</v>
      </c>
      <c r="E546" t="s">
        <v>27</v>
      </c>
      <c r="F546" t="s">
        <v>28</v>
      </c>
      <c r="G546">
        <v>31</v>
      </c>
      <c r="H546">
        <v>33</v>
      </c>
      <c r="I546">
        <v>64</v>
      </c>
      <c r="J546">
        <f t="shared" si="24"/>
        <v>-2</v>
      </c>
      <c r="K546" t="s">
        <v>20</v>
      </c>
      <c r="L546">
        <f t="shared" si="25"/>
        <v>1</v>
      </c>
      <c r="M546">
        <v>7</v>
      </c>
      <c r="N546">
        <v>2</v>
      </c>
      <c r="O546">
        <f t="shared" si="26"/>
        <v>1</v>
      </c>
    </row>
    <row r="547" spans="1:15" x14ac:dyDescent="0.3">
      <c r="A547" t="s">
        <v>15</v>
      </c>
      <c r="B547" t="s">
        <v>163</v>
      </c>
      <c r="C547" t="s">
        <v>164</v>
      </c>
      <c r="D547">
        <v>2</v>
      </c>
      <c r="E547" t="s">
        <v>165</v>
      </c>
      <c r="F547" t="s">
        <v>166</v>
      </c>
      <c r="G547">
        <v>89</v>
      </c>
      <c r="H547">
        <v>0</v>
      </c>
      <c r="I547">
        <v>89</v>
      </c>
      <c r="J547">
        <f t="shared" si="24"/>
        <v>0</v>
      </c>
      <c r="K547" t="s">
        <v>20</v>
      </c>
      <c r="L547">
        <f t="shared" si="25"/>
        <v>1</v>
      </c>
      <c r="M547">
        <v>9</v>
      </c>
      <c r="N547">
        <v>1</v>
      </c>
      <c r="O547">
        <f t="shared" si="26"/>
        <v>0</v>
      </c>
    </row>
    <row r="548" spans="1:15" x14ac:dyDescent="0.3">
      <c r="A548" t="s">
        <v>15</v>
      </c>
      <c r="B548" t="s">
        <v>163</v>
      </c>
      <c r="C548" t="s">
        <v>164</v>
      </c>
      <c r="D548">
        <v>2</v>
      </c>
      <c r="E548" t="s">
        <v>31</v>
      </c>
      <c r="F548" t="s">
        <v>32</v>
      </c>
      <c r="G548">
        <v>94</v>
      </c>
      <c r="H548">
        <v>0</v>
      </c>
      <c r="I548">
        <v>94</v>
      </c>
      <c r="J548">
        <f t="shared" si="24"/>
        <v>0</v>
      </c>
      <c r="K548" t="s">
        <v>20</v>
      </c>
      <c r="L548">
        <f t="shared" si="25"/>
        <v>1</v>
      </c>
      <c r="M548">
        <v>10</v>
      </c>
      <c r="N548">
        <v>1</v>
      </c>
      <c r="O548">
        <f t="shared" si="26"/>
        <v>0</v>
      </c>
    </row>
    <row r="549" spans="1:15" x14ac:dyDescent="0.3">
      <c r="A549" t="s">
        <v>15</v>
      </c>
      <c r="B549" t="s">
        <v>163</v>
      </c>
      <c r="C549" t="s">
        <v>164</v>
      </c>
      <c r="D549">
        <v>2</v>
      </c>
      <c r="E549" t="s">
        <v>33</v>
      </c>
      <c r="F549" t="s">
        <v>34</v>
      </c>
      <c r="G549">
        <v>37</v>
      </c>
      <c r="H549">
        <v>35</v>
      </c>
      <c r="I549">
        <v>72</v>
      </c>
      <c r="J549">
        <f t="shared" si="24"/>
        <v>2</v>
      </c>
      <c r="K549" t="s">
        <v>20</v>
      </c>
      <c r="L549">
        <f t="shared" si="25"/>
        <v>1</v>
      </c>
      <c r="M549">
        <v>8</v>
      </c>
      <c r="N549">
        <v>4</v>
      </c>
      <c r="O549">
        <f t="shared" si="26"/>
        <v>1</v>
      </c>
    </row>
    <row r="550" spans="1:15" x14ac:dyDescent="0.3">
      <c r="A550" t="s">
        <v>15</v>
      </c>
      <c r="B550" t="s">
        <v>163</v>
      </c>
      <c r="C550" t="s">
        <v>164</v>
      </c>
      <c r="D550">
        <v>2</v>
      </c>
      <c r="E550" t="s">
        <v>35</v>
      </c>
      <c r="F550" t="s">
        <v>36</v>
      </c>
      <c r="G550">
        <v>27</v>
      </c>
      <c r="H550">
        <v>47</v>
      </c>
      <c r="I550">
        <v>74</v>
      </c>
      <c r="J550">
        <f t="shared" si="24"/>
        <v>-20</v>
      </c>
      <c r="K550" t="s">
        <v>20</v>
      </c>
      <c r="L550">
        <f t="shared" si="25"/>
        <v>1</v>
      </c>
      <c r="M550">
        <v>8</v>
      </c>
      <c r="N550">
        <v>3</v>
      </c>
      <c r="O550">
        <f t="shared" si="26"/>
        <v>1</v>
      </c>
    </row>
    <row r="551" spans="1:15" x14ac:dyDescent="0.3">
      <c r="A551" t="s">
        <v>15</v>
      </c>
      <c r="B551" t="s">
        <v>163</v>
      </c>
      <c r="C551" t="s">
        <v>164</v>
      </c>
      <c r="D551">
        <v>2</v>
      </c>
      <c r="E551" t="s">
        <v>37</v>
      </c>
      <c r="F551" t="s">
        <v>38</v>
      </c>
      <c r="G551">
        <v>22</v>
      </c>
      <c r="H551">
        <v>35</v>
      </c>
      <c r="I551">
        <v>57</v>
      </c>
      <c r="J551">
        <f t="shared" si="24"/>
        <v>-13</v>
      </c>
      <c r="K551" t="s">
        <v>20</v>
      </c>
      <c r="L551">
        <f t="shared" si="25"/>
        <v>1</v>
      </c>
      <c r="M551">
        <v>6</v>
      </c>
      <c r="N551">
        <v>3</v>
      </c>
      <c r="O551">
        <f t="shared" si="26"/>
        <v>1</v>
      </c>
    </row>
    <row r="552" spans="1:15" x14ac:dyDescent="0.3">
      <c r="A552" t="s">
        <v>15</v>
      </c>
      <c r="B552" t="s">
        <v>163</v>
      </c>
      <c r="C552" t="s">
        <v>164</v>
      </c>
      <c r="D552">
        <v>1</v>
      </c>
      <c r="E552" t="s">
        <v>39</v>
      </c>
      <c r="F552" t="s">
        <v>40</v>
      </c>
      <c r="G552">
        <v>94</v>
      </c>
      <c r="H552">
        <v>0</v>
      </c>
      <c r="I552">
        <v>94</v>
      </c>
      <c r="J552">
        <f t="shared" si="24"/>
        <v>0</v>
      </c>
      <c r="K552" t="s">
        <v>20</v>
      </c>
      <c r="L552">
        <f t="shared" si="25"/>
        <v>1</v>
      </c>
      <c r="M552">
        <v>10</v>
      </c>
      <c r="N552">
        <v>1</v>
      </c>
      <c r="O552">
        <f t="shared" si="26"/>
        <v>0</v>
      </c>
    </row>
    <row r="553" spans="1:15" x14ac:dyDescent="0.3">
      <c r="A553" t="s">
        <v>15</v>
      </c>
      <c r="B553" t="s">
        <v>163</v>
      </c>
      <c r="C553" t="s">
        <v>164</v>
      </c>
      <c r="D553">
        <v>1</v>
      </c>
      <c r="E553" t="s">
        <v>41</v>
      </c>
      <c r="F553" t="s">
        <v>42</v>
      </c>
      <c r="G553">
        <v>35</v>
      </c>
      <c r="H553">
        <v>39</v>
      </c>
      <c r="I553">
        <v>74</v>
      </c>
      <c r="J553">
        <f t="shared" si="24"/>
        <v>-4</v>
      </c>
      <c r="K553" t="s">
        <v>20</v>
      </c>
      <c r="L553">
        <f t="shared" si="25"/>
        <v>1</v>
      </c>
      <c r="M553">
        <v>10</v>
      </c>
      <c r="N553">
        <v>3</v>
      </c>
      <c r="O553">
        <f t="shared" si="26"/>
        <v>1</v>
      </c>
    </row>
    <row r="554" spans="1:15" x14ac:dyDescent="0.3">
      <c r="A554" t="s">
        <v>15</v>
      </c>
      <c r="B554" t="s">
        <v>163</v>
      </c>
      <c r="C554" t="s">
        <v>164</v>
      </c>
      <c r="D554">
        <v>1</v>
      </c>
      <c r="E554" t="s">
        <v>43</v>
      </c>
      <c r="F554" t="s">
        <v>44</v>
      </c>
      <c r="G554">
        <v>67</v>
      </c>
      <c r="H554">
        <v>0</v>
      </c>
      <c r="I554">
        <v>67</v>
      </c>
      <c r="J554">
        <f t="shared" si="24"/>
        <v>0</v>
      </c>
      <c r="K554" t="s">
        <v>20</v>
      </c>
      <c r="L554">
        <f t="shared" si="25"/>
        <v>1</v>
      </c>
      <c r="M554">
        <v>7</v>
      </c>
      <c r="N554">
        <v>1</v>
      </c>
      <c r="O554">
        <f t="shared" si="26"/>
        <v>0</v>
      </c>
    </row>
    <row r="555" spans="1:15" x14ac:dyDescent="0.3">
      <c r="A555" t="s">
        <v>15</v>
      </c>
      <c r="B555" t="s">
        <v>163</v>
      </c>
      <c r="C555" t="s">
        <v>164</v>
      </c>
      <c r="D555">
        <v>1</v>
      </c>
      <c r="E555" t="s">
        <v>45</v>
      </c>
      <c r="F555" t="s">
        <v>46</v>
      </c>
      <c r="G555">
        <v>26</v>
      </c>
      <c r="H555">
        <v>33</v>
      </c>
      <c r="I555">
        <v>59</v>
      </c>
      <c r="J555">
        <f t="shared" si="24"/>
        <v>-7</v>
      </c>
      <c r="K555" t="s">
        <v>20</v>
      </c>
      <c r="L555">
        <f t="shared" si="25"/>
        <v>1</v>
      </c>
      <c r="M555">
        <v>6</v>
      </c>
      <c r="N555">
        <v>1</v>
      </c>
      <c r="O555">
        <f t="shared" si="26"/>
        <v>1</v>
      </c>
    </row>
    <row r="556" spans="1:15" x14ac:dyDescent="0.3">
      <c r="A556" t="s">
        <v>15</v>
      </c>
      <c r="B556" t="s">
        <v>163</v>
      </c>
      <c r="C556" t="s">
        <v>164</v>
      </c>
      <c r="D556">
        <v>1</v>
      </c>
      <c r="E556" t="s">
        <v>47</v>
      </c>
      <c r="F556" t="s">
        <v>48</v>
      </c>
      <c r="G556">
        <v>65</v>
      </c>
      <c r="H556">
        <v>0</v>
      </c>
      <c r="I556">
        <v>65</v>
      </c>
      <c r="J556">
        <f t="shared" si="24"/>
        <v>0</v>
      </c>
      <c r="K556" t="s">
        <v>20</v>
      </c>
      <c r="L556">
        <f t="shared" si="25"/>
        <v>1</v>
      </c>
      <c r="M556">
        <v>7</v>
      </c>
      <c r="N556">
        <v>1</v>
      </c>
      <c r="O556">
        <f t="shared" si="26"/>
        <v>0</v>
      </c>
    </row>
    <row r="557" spans="1:15" x14ac:dyDescent="0.3">
      <c r="A557" t="s">
        <v>15</v>
      </c>
      <c r="B557" t="s">
        <v>163</v>
      </c>
      <c r="C557" t="s">
        <v>164</v>
      </c>
      <c r="D557">
        <v>1</v>
      </c>
      <c r="E557" t="s">
        <v>49</v>
      </c>
      <c r="F557" t="s">
        <v>50</v>
      </c>
      <c r="G557">
        <v>90</v>
      </c>
      <c r="H557">
        <v>0</v>
      </c>
      <c r="I557">
        <v>90</v>
      </c>
      <c r="J557">
        <f t="shared" si="24"/>
        <v>0</v>
      </c>
      <c r="K557" t="s">
        <v>20</v>
      </c>
      <c r="L557">
        <f t="shared" si="25"/>
        <v>1</v>
      </c>
      <c r="M557">
        <v>9</v>
      </c>
      <c r="N557">
        <v>1</v>
      </c>
      <c r="O557">
        <f t="shared" si="26"/>
        <v>0</v>
      </c>
    </row>
    <row r="558" spans="1:15" x14ac:dyDescent="0.3">
      <c r="A558" t="s">
        <v>15</v>
      </c>
      <c r="B558" t="s">
        <v>163</v>
      </c>
      <c r="C558" t="s">
        <v>164</v>
      </c>
      <c r="D558">
        <v>1</v>
      </c>
      <c r="E558" t="s">
        <v>51</v>
      </c>
      <c r="F558" t="s">
        <v>52</v>
      </c>
      <c r="G558">
        <v>91</v>
      </c>
      <c r="H558">
        <v>0</v>
      </c>
      <c r="I558">
        <v>91</v>
      </c>
      <c r="J558">
        <f t="shared" si="24"/>
        <v>0</v>
      </c>
      <c r="K558" t="s">
        <v>20</v>
      </c>
      <c r="L558">
        <f t="shared" si="25"/>
        <v>1</v>
      </c>
      <c r="M558">
        <v>10</v>
      </c>
      <c r="N558">
        <v>1</v>
      </c>
      <c r="O558">
        <f t="shared" si="26"/>
        <v>0</v>
      </c>
    </row>
    <row r="559" spans="1:15" x14ac:dyDescent="0.3">
      <c r="A559" t="s">
        <v>15</v>
      </c>
      <c r="B559" t="s">
        <v>163</v>
      </c>
      <c r="C559" t="s">
        <v>164</v>
      </c>
      <c r="D559">
        <v>1</v>
      </c>
      <c r="E559" t="s">
        <v>53</v>
      </c>
      <c r="F559" t="s">
        <v>54</v>
      </c>
      <c r="G559">
        <v>47</v>
      </c>
      <c r="H559">
        <v>47</v>
      </c>
      <c r="I559">
        <v>94</v>
      </c>
      <c r="J559">
        <f t="shared" si="24"/>
        <v>0</v>
      </c>
      <c r="K559" t="s">
        <v>20</v>
      </c>
      <c r="L559">
        <f t="shared" si="25"/>
        <v>1</v>
      </c>
      <c r="M559">
        <v>10</v>
      </c>
      <c r="N559">
        <v>4</v>
      </c>
      <c r="O559">
        <f t="shared" si="26"/>
        <v>1</v>
      </c>
    </row>
    <row r="560" spans="1:15" x14ac:dyDescent="0.3">
      <c r="A560" t="s">
        <v>15</v>
      </c>
      <c r="B560" t="s">
        <v>163</v>
      </c>
      <c r="C560" t="s">
        <v>164</v>
      </c>
      <c r="D560">
        <v>1</v>
      </c>
      <c r="E560" t="s">
        <v>55</v>
      </c>
      <c r="F560" t="s">
        <v>56</v>
      </c>
      <c r="G560">
        <v>40</v>
      </c>
      <c r="H560">
        <v>35</v>
      </c>
      <c r="I560">
        <v>75</v>
      </c>
      <c r="J560">
        <f t="shared" si="24"/>
        <v>5</v>
      </c>
      <c r="K560" t="s">
        <v>20</v>
      </c>
      <c r="L560">
        <f t="shared" si="25"/>
        <v>1</v>
      </c>
      <c r="M560">
        <v>8</v>
      </c>
      <c r="N560">
        <v>3</v>
      </c>
      <c r="O560">
        <f t="shared" si="26"/>
        <v>1</v>
      </c>
    </row>
    <row r="561" spans="1:15" x14ac:dyDescent="0.3">
      <c r="A561" t="s">
        <v>15</v>
      </c>
      <c r="B561" t="s">
        <v>163</v>
      </c>
      <c r="C561" t="s">
        <v>164</v>
      </c>
      <c r="D561">
        <v>1</v>
      </c>
      <c r="E561" t="s">
        <v>57</v>
      </c>
      <c r="F561" t="s">
        <v>58</v>
      </c>
      <c r="G561">
        <v>38</v>
      </c>
      <c r="H561">
        <v>42</v>
      </c>
      <c r="I561">
        <v>80</v>
      </c>
      <c r="J561">
        <f t="shared" si="24"/>
        <v>-4</v>
      </c>
      <c r="K561" t="s">
        <v>20</v>
      </c>
      <c r="L561">
        <f t="shared" si="25"/>
        <v>1</v>
      </c>
      <c r="M561">
        <v>9</v>
      </c>
      <c r="N561">
        <v>4</v>
      </c>
      <c r="O561">
        <f t="shared" si="26"/>
        <v>1</v>
      </c>
    </row>
    <row r="562" spans="1:15" x14ac:dyDescent="0.3">
      <c r="A562" t="s">
        <v>15</v>
      </c>
      <c r="B562" t="s">
        <v>167</v>
      </c>
      <c r="C562" t="s">
        <v>168</v>
      </c>
      <c r="D562">
        <v>2</v>
      </c>
      <c r="E562" t="s">
        <v>18</v>
      </c>
      <c r="F562" t="s">
        <v>19</v>
      </c>
      <c r="G562">
        <v>44</v>
      </c>
      <c r="H562">
        <v>35</v>
      </c>
      <c r="I562">
        <v>79</v>
      </c>
      <c r="J562">
        <f t="shared" si="24"/>
        <v>9</v>
      </c>
      <c r="K562" t="s">
        <v>20</v>
      </c>
      <c r="L562">
        <f t="shared" si="25"/>
        <v>1</v>
      </c>
      <c r="M562">
        <v>8</v>
      </c>
      <c r="N562">
        <v>4</v>
      </c>
      <c r="O562">
        <f t="shared" si="26"/>
        <v>1</v>
      </c>
    </row>
    <row r="563" spans="1:15" x14ac:dyDescent="0.3">
      <c r="A563" t="s">
        <v>15</v>
      </c>
      <c r="B563" t="s">
        <v>167</v>
      </c>
      <c r="C563" t="s">
        <v>168</v>
      </c>
      <c r="D563">
        <v>2</v>
      </c>
      <c r="E563" t="s">
        <v>21</v>
      </c>
      <c r="F563" t="s">
        <v>22</v>
      </c>
      <c r="G563">
        <v>46</v>
      </c>
      <c r="H563">
        <v>38</v>
      </c>
      <c r="I563">
        <v>84</v>
      </c>
      <c r="J563">
        <f t="shared" si="24"/>
        <v>8</v>
      </c>
      <c r="K563" t="s">
        <v>20</v>
      </c>
      <c r="L563">
        <f t="shared" si="25"/>
        <v>1</v>
      </c>
      <c r="M563">
        <v>9</v>
      </c>
      <c r="N563">
        <v>4</v>
      </c>
      <c r="O563">
        <f t="shared" si="26"/>
        <v>1</v>
      </c>
    </row>
    <row r="564" spans="1:15" x14ac:dyDescent="0.3">
      <c r="A564" t="s">
        <v>15</v>
      </c>
      <c r="B564" t="s">
        <v>167</v>
      </c>
      <c r="C564" t="s">
        <v>168</v>
      </c>
      <c r="D564">
        <v>2</v>
      </c>
      <c r="E564" t="s">
        <v>23</v>
      </c>
      <c r="F564" t="s">
        <v>24</v>
      </c>
      <c r="G564">
        <v>86</v>
      </c>
      <c r="H564">
        <v>0</v>
      </c>
      <c r="I564">
        <v>86</v>
      </c>
      <c r="J564">
        <f t="shared" si="24"/>
        <v>0</v>
      </c>
      <c r="K564" t="s">
        <v>20</v>
      </c>
      <c r="L564">
        <f t="shared" si="25"/>
        <v>1</v>
      </c>
      <c r="M564">
        <v>9</v>
      </c>
      <c r="N564">
        <v>1</v>
      </c>
      <c r="O564">
        <f t="shared" si="26"/>
        <v>0</v>
      </c>
    </row>
    <row r="565" spans="1:15" x14ac:dyDescent="0.3">
      <c r="A565" t="s">
        <v>15</v>
      </c>
      <c r="B565" t="s">
        <v>167</v>
      </c>
      <c r="C565" t="s">
        <v>168</v>
      </c>
      <c r="D565">
        <v>2</v>
      </c>
      <c r="E565" t="s">
        <v>25</v>
      </c>
      <c r="F565" t="s">
        <v>26</v>
      </c>
      <c r="G565">
        <v>41</v>
      </c>
      <c r="H565">
        <v>37</v>
      </c>
      <c r="I565">
        <v>78</v>
      </c>
      <c r="J565">
        <f t="shared" si="24"/>
        <v>4</v>
      </c>
      <c r="K565" t="s">
        <v>20</v>
      </c>
      <c r="L565">
        <f t="shared" si="25"/>
        <v>1</v>
      </c>
      <c r="M565">
        <v>8</v>
      </c>
      <c r="N565">
        <v>1</v>
      </c>
      <c r="O565">
        <f t="shared" si="26"/>
        <v>1</v>
      </c>
    </row>
    <row r="566" spans="1:15" x14ac:dyDescent="0.3">
      <c r="A566" t="s">
        <v>15</v>
      </c>
      <c r="B566" t="s">
        <v>167</v>
      </c>
      <c r="C566" t="s">
        <v>168</v>
      </c>
      <c r="D566">
        <v>2</v>
      </c>
      <c r="E566" t="s">
        <v>27</v>
      </c>
      <c r="F566" t="s">
        <v>28</v>
      </c>
      <c r="G566">
        <v>34</v>
      </c>
      <c r="H566">
        <v>41</v>
      </c>
      <c r="I566">
        <v>75</v>
      </c>
      <c r="J566">
        <f t="shared" si="24"/>
        <v>-7</v>
      </c>
      <c r="K566" t="s">
        <v>20</v>
      </c>
      <c r="L566">
        <f t="shared" si="25"/>
        <v>1</v>
      </c>
      <c r="M566">
        <v>8</v>
      </c>
      <c r="N566">
        <v>2</v>
      </c>
      <c r="O566">
        <f t="shared" si="26"/>
        <v>1</v>
      </c>
    </row>
    <row r="567" spans="1:15" x14ac:dyDescent="0.3">
      <c r="A567" t="s">
        <v>15</v>
      </c>
      <c r="B567" t="s">
        <v>167</v>
      </c>
      <c r="C567" t="s">
        <v>168</v>
      </c>
      <c r="D567">
        <v>2</v>
      </c>
      <c r="E567" t="s">
        <v>109</v>
      </c>
      <c r="F567" t="s">
        <v>110</v>
      </c>
      <c r="G567">
        <v>93</v>
      </c>
      <c r="H567">
        <v>0</v>
      </c>
      <c r="I567">
        <v>93</v>
      </c>
      <c r="J567">
        <f t="shared" si="24"/>
        <v>0</v>
      </c>
      <c r="K567" t="s">
        <v>20</v>
      </c>
      <c r="L567">
        <f t="shared" si="25"/>
        <v>1</v>
      </c>
      <c r="M567">
        <v>10</v>
      </c>
      <c r="N567">
        <v>1</v>
      </c>
      <c r="O567">
        <f t="shared" si="26"/>
        <v>0</v>
      </c>
    </row>
    <row r="568" spans="1:15" x14ac:dyDescent="0.3">
      <c r="A568" t="s">
        <v>15</v>
      </c>
      <c r="B568" t="s">
        <v>167</v>
      </c>
      <c r="C568" t="s">
        <v>168</v>
      </c>
      <c r="D568">
        <v>2</v>
      </c>
      <c r="E568" t="s">
        <v>31</v>
      </c>
      <c r="F568" t="s">
        <v>32</v>
      </c>
      <c r="G568">
        <v>94</v>
      </c>
      <c r="H568">
        <v>0</v>
      </c>
      <c r="I568">
        <v>94</v>
      </c>
      <c r="J568">
        <f t="shared" si="24"/>
        <v>0</v>
      </c>
      <c r="K568" t="s">
        <v>20</v>
      </c>
      <c r="L568">
        <f t="shared" si="25"/>
        <v>1</v>
      </c>
      <c r="M568">
        <v>10</v>
      </c>
      <c r="N568">
        <v>1</v>
      </c>
      <c r="O568">
        <f t="shared" si="26"/>
        <v>0</v>
      </c>
    </row>
    <row r="569" spans="1:15" x14ac:dyDescent="0.3">
      <c r="A569" t="s">
        <v>15</v>
      </c>
      <c r="B569" t="s">
        <v>167</v>
      </c>
      <c r="C569" t="s">
        <v>168</v>
      </c>
      <c r="D569">
        <v>2</v>
      </c>
      <c r="E569" t="s">
        <v>33</v>
      </c>
      <c r="F569" t="s">
        <v>34</v>
      </c>
      <c r="G569">
        <v>46</v>
      </c>
      <c r="H569">
        <v>38</v>
      </c>
      <c r="I569">
        <v>84</v>
      </c>
      <c r="J569">
        <f t="shared" si="24"/>
        <v>8</v>
      </c>
      <c r="K569" t="s">
        <v>20</v>
      </c>
      <c r="L569">
        <f t="shared" si="25"/>
        <v>1</v>
      </c>
      <c r="M569">
        <v>8</v>
      </c>
      <c r="N569">
        <v>4</v>
      </c>
      <c r="O569">
        <f t="shared" si="26"/>
        <v>1</v>
      </c>
    </row>
    <row r="570" spans="1:15" x14ac:dyDescent="0.3">
      <c r="A570" t="s">
        <v>15</v>
      </c>
      <c r="B570" t="s">
        <v>167</v>
      </c>
      <c r="C570" t="s">
        <v>168</v>
      </c>
      <c r="D570">
        <v>2</v>
      </c>
      <c r="E570" t="s">
        <v>35</v>
      </c>
      <c r="F570" t="s">
        <v>36</v>
      </c>
      <c r="G570">
        <v>32</v>
      </c>
      <c r="H570">
        <v>47</v>
      </c>
      <c r="I570">
        <v>79</v>
      </c>
      <c r="J570">
        <f t="shared" si="24"/>
        <v>-15</v>
      </c>
      <c r="K570" t="s">
        <v>20</v>
      </c>
      <c r="L570">
        <f t="shared" si="25"/>
        <v>1</v>
      </c>
      <c r="M570">
        <v>8</v>
      </c>
      <c r="N570">
        <v>3</v>
      </c>
      <c r="O570">
        <f t="shared" si="26"/>
        <v>1</v>
      </c>
    </row>
    <row r="571" spans="1:15" x14ac:dyDescent="0.3">
      <c r="A571" t="s">
        <v>15</v>
      </c>
      <c r="B571" t="s">
        <v>167</v>
      </c>
      <c r="C571" t="s">
        <v>168</v>
      </c>
      <c r="D571">
        <v>2</v>
      </c>
      <c r="E571" t="s">
        <v>37</v>
      </c>
      <c r="F571" t="s">
        <v>38</v>
      </c>
      <c r="G571">
        <v>37</v>
      </c>
      <c r="H571">
        <v>45</v>
      </c>
      <c r="I571">
        <v>82</v>
      </c>
      <c r="J571">
        <f t="shared" si="24"/>
        <v>-8</v>
      </c>
      <c r="K571" t="s">
        <v>20</v>
      </c>
      <c r="L571">
        <f t="shared" si="25"/>
        <v>1</v>
      </c>
      <c r="M571">
        <v>8</v>
      </c>
      <c r="N571">
        <v>3</v>
      </c>
      <c r="O571">
        <f t="shared" si="26"/>
        <v>1</v>
      </c>
    </row>
    <row r="572" spans="1:15" x14ac:dyDescent="0.3">
      <c r="A572" t="s">
        <v>15</v>
      </c>
      <c r="B572" t="s">
        <v>167</v>
      </c>
      <c r="C572" t="s">
        <v>168</v>
      </c>
      <c r="D572">
        <v>1</v>
      </c>
      <c r="E572" t="s">
        <v>39</v>
      </c>
      <c r="F572" t="s">
        <v>40</v>
      </c>
      <c r="G572">
        <v>88</v>
      </c>
      <c r="H572">
        <v>0</v>
      </c>
      <c r="I572">
        <v>88</v>
      </c>
      <c r="J572">
        <f t="shared" si="24"/>
        <v>0</v>
      </c>
      <c r="K572" t="s">
        <v>20</v>
      </c>
      <c r="L572">
        <f t="shared" si="25"/>
        <v>1</v>
      </c>
      <c r="M572">
        <v>9</v>
      </c>
      <c r="N572">
        <v>1</v>
      </c>
      <c r="O572">
        <f t="shared" si="26"/>
        <v>0</v>
      </c>
    </row>
    <row r="573" spans="1:15" x14ac:dyDescent="0.3">
      <c r="A573" t="s">
        <v>15</v>
      </c>
      <c r="B573" t="s">
        <v>167</v>
      </c>
      <c r="C573" t="s">
        <v>168</v>
      </c>
      <c r="D573">
        <v>1</v>
      </c>
      <c r="E573" t="s">
        <v>41</v>
      </c>
      <c r="F573" t="s">
        <v>42</v>
      </c>
      <c r="G573">
        <v>27</v>
      </c>
      <c r="H573">
        <v>42</v>
      </c>
      <c r="I573">
        <v>69</v>
      </c>
      <c r="J573">
        <f t="shared" si="24"/>
        <v>-15</v>
      </c>
      <c r="K573" t="s">
        <v>20</v>
      </c>
      <c r="L573">
        <f t="shared" si="25"/>
        <v>1</v>
      </c>
      <c r="M573">
        <v>9</v>
      </c>
      <c r="N573">
        <v>3</v>
      </c>
      <c r="O573">
        <f t="shared" si="26"/>
        <v>1</v>
      </c>
    </row>
    <row r="574" spans="1:15" x14ac:dyDescent="0.3">
      <c r="A574" t="s">
        <v>15</v>
      </c>
      <c r="B574" t="s">
        <v>167</v>
      </c>
      <c r="C574" t="s">
        <v>168</v>
      </c>
      <c r="D574">
        <v>1</v>
      </c>
      <c r="E574" t="s">
        <v>43</v>
      </c>
      <c r="F574" t="s">
        <v>44</v>
      </c>
      <c r="G574">
        <v>83</v>
      </c>
      <c r="H574">
        <v>0</v>
      </c>
      <c r="I574">
        <v>83</v>
      </c>
      <c r="J574">
        <f t="shared" si="24"/>
        <v>0</v>
      </c>
      <c r="K574" t="s">
        <v>20</v>
      </c>
      <c r="L574">
        <f t="shared" si="25"/>
        <v>1</v>
      </c>
      <c r="M574">
        <v>9</v>
      </c>
      <c r="N574">
        <v>1</v>
      </c>
      <c r="O574">
        <f t="shared" si="26"/>
        <v>0</v>
      </c>
    </row>
    <row r="575" spans="1:15" x14ac:dyDescent="0.3">
      <c r="A575" t="s">
        <v>15</v>
      </c>
      <c r="B575" t="s">
        <v>167</v>
      </c>
      <c r="C575" t="s">
        <v>168</v>
      </c>
      <c r="D575">
        <v>1</v>
      </c>
      <c r="E575" t="s">
        <v>45</v>
      </c>
      <c r="F575" t="s">
        <v>46</v>
      </c>
      <c r="G575">
        <v>32</v>
      </c>
      <c r="H575">
        <v>50</v>
      </c>
      <c r="I575">
        <v>82</v>
      </c>
      <c r="J575">
        <f t="shared" si="24"/>
        <v>-18</v>
      </c>
      <c r="K575" t="s">
        <v>20</v>
      </c>
      <c r="L575">
        <f t="shared" si="25"/>
        <v>1</v>
      </c>
      <c r="M575">
        <v>9</v>
      </c>
      <c r="N575">
        <v>1</v>
      </c>
      <c r="O575">
        <f t="shared" si="26"/>
        <v>1</v>
      </c>
    </row>
    <row r="576" spans="1:15" x14ac:dyDescent="0.3">
      <c r="A576" t="s">
        <v>15</v>
      </c>
      <c r="B576" t="s">
        <v>167</v>
      </c>
      <c r="C576" t="s">
        <v>168</v>
      </c>
      <c r="D576">
        <v>1</v>
      </c>
      <c r="E576" t="s">
        <v>83</v>
      </c>
      <c r="F576" t="s">
        <v>84</v>
      </c>
      <c r="G576">
        <v>59</v>
      </c>
      <c r="H576">
        <v>39</v>
      </c>
      <c r="I576">
        <v>98</v>
      </c>
      <c r="J576">
        <f t="shared" si="24"/>
        <v>20</v>
      </c>
      <c r="K576" t="s">
        <v>20</v>
      </c>
      <c r="L576">
        <f t="shared" si="25"/>
        <v>1</v>
      </c>
      <c r="M576">
        <v>10</v>
      </c>
      <c r="N576">
        <v>3</v>
      </c>
      <c r="O576">
        <f t="shared" si="26"/>
        <v>1</v>
      </c>
    </row>
    <row r="577" spans="1:15" x14ac:dyDescent="0.3">
      <c r="A577" t="s">
        <v>15</v>
      </c>
      <c r="B577" t="s">
        <v>167</v>
      </c>
      <c r="C577" t="s">
        <v>168</v>
      </c>
      <c r="D577">
        <v>1</v>
      </c>
      <c r="E577" t="s">
        <v>53</v>
      </c>
      <c r="F577" t="s">
        <v>54</v>
      </c>
      <c r="G577">
        <v>46</v>
      </c>
      <c r="H577">
        <v>43</v>
      </c>
      <c r="I577">
        <v>89</v>
      </c>
      <c r="J577">
        <f t="shared" si="24"/>
        <v>3</v>
      </c>
      <c r="K577" t="s">
        <v>20</v>
      </c>
      <c r="L577">
        <f t="shared" si="25"/>
        <v>1</v>
      </c>
      <c r="M577">
        <v>9</v>
      </c>
      <c r="N577">
        <v>4</v>
      </c>
      <c r="O577">
        <f t="shared" si="26"/>
        <v>1</v>
      </c>
    </row>
    <row r="578" spans="1:15" x14ac:dyDescent="0.3">
      <c r="A578" t="s">
        <v>15</v>
      </c>
      <c r="B578" t="s">
        <v>167</v>
      </c>
      <c r="C578" t="s">
        <v>168</v>
      </c>
      <c r="D578">
        <v>1</v>
      </c>
      <c r="E578" t="s">
        <v>55</v>
      </c>
      <c r="F578" t="s">
        <v>56</v>
      </c>
      <c r="G578">
        <v>47</v>
      </c>
      <c r="H578">
        <v>48</v>
      </c>
      <c r="I578">
        <v>95</v>
      </c>
      <c r="J578">
        <f t="shared" ref="J578:J641" si="27">IF(H578=0,0,G578-H578)</f>
        <v>-1</v>
      </c>
      <c r="K578" t="s">
        <v>20</v>
      </c>
      <c r="L578">
        <f t="shared" ref="L578:L641" si="28">IF(K578="Pass",1,0)</f>
        <v>1</v>
      </c>
      <c r="M578">
        <v>10</v>
      </c>
      <c r="N578">
        <v>3</v>
      </c>
      <c r="O578">
        <f t="shared" ref="O578:O641" si="29">IF(H578=0,0,1)</f>
        <v>1</v>
      </c>
    </row>
    <row r="579" spans="1:15" x14ac:dyDescent="0.3">
      <c r="A579" t="s">
        <v>15</v>
      </c>
      <c r="B579" t="s">
        <v>167</v>
      </c>
      <c r="C579" t="s">
        <v>168</v>
      </c>
      <c r="D579">
        <v>1</v>
      </c>
      <c r="E579" t="s">
        <v>57</v>
      </c>
      <c r="F579" t="s">
        <v>58</v>
      </c>
      <c r="G579">
        <v>46</v>
      </c>
      <c r="H579">
        <v>41</v>
      </c>
      <c r="I579">
        <v>87</v>
      </c>
      <c r="J579">
        <f t="shared" si="27"/>
        <v>5</v>
      </c>
      <c r="K579" t="s">
        <v>20</v>
      </c>
      <c r="L579">
        <f t="shared" si="28"/>
        <v>1</v>
      </c>
      <c r="M579">
        <v>10</v>
      </c>
      <c r="N579">
        <v>4</v>
      </c>
      <c r="O579">
        <f t="shared" si="29"/>
        <v>1</v>
      </c>
    </row>
    <row r="580" spans="1:15" x14ac:dyDescent="0.3">
      <c r="A580" t="s">
        <v>15</v>
      </c>
      <c r="B580" t="s">
        <v>169</v>
      </c>
      <c r="C580" t="s">
        <v>170</v>
      </c>
      <c r="D580">
        <v>2</v>
      </c>
      <c r="E580" t="s">
        <v>18</v>
      </c>
      <c r="F580" t="s">
        <v>19</v>
      </c>
      <c r="G580">
        <v>43</v>
      </c>
      <c r="H580">
        <v>25</v>
      </c>
      <c r="I580">
        <v>68</v>
      </c>
      <c r="J580">
        <f t="shared" si="27"/>
        <v>18</v>
      </c>
      <c r="K580" t="s">
        <v>20</v>
      </c>
      <c r="L580">
        <f t="shared" si="28"/>
        <v>1</v>
      </c>
      <c r="M580">
        <v>7</v>
      </c>
      <c r="N580">
        <v>4</v>
      </c>
      <c r="O580">
        <f t="shared" si="29"/>
        <v>1</v>
      </c>
    </row>
    <row r="581" spans="1:15" x14ac:dyDescent="0.3">
      <c r="A581" t="s">
        <v>15</v>
      </c>
      <c r="B581" t="s">
        <v>169</v>
      </c>
      <c r="C581" t="s">
        <v>170</v>
      </c>
      <c r="D581">
        <v>2</v>
      </c>
      <c r="E581" t="s">
        <v>21</v>
      </c>
      <c r="F581" t="s">
        <v>22</v>
      </c>
      <c r="G581">
        <v>39</v>
      </c>
      <c r="H581">
        <v>25</v>
      </c>
      <c r="I581">
        <v>64</v>
      </c>
      <c r="J581">
        <f t="shared" si="27"/>
        <v>14</v>
      </c>
      <c r="K581" t="s">
        <v>20</v>
      </c>
      <c r="L581">
        <f t="shared" si="28"/>
        <v>1</v>
      </c>
      <c r="M581">
        <v>7</v>
      </c>
      <c r="N581">
        <v>4</v>
      </c>
      <c r="O581">
        <f t="shared" si="29"/>
        <v>1</v>
      </c>
    </row>
    <row r="582" spans="1:15" x14ac:dyDescent="0.3">
      <c r="A582" t="s">
        <v>15</v>
      </c>
      <c r="B582" t="s">
        <v>169</v>
      </c>
      <c r="C582" t="s">
        <v>170</v>
      </c>
      <c r="D582">
        <v>2</v>
      </c>
      <c r="E582" t="s">
        <v>23</v>
      </c>
      <c r="F582" t="s">
        <v>24</v>
      </c>
      <c r="G582">
        <v>83</v>
      </c>
      <c r="H582">
        <v>0</v>
      </c>
      <c r="I582">
        <v>83</v>
      </c>
      <c r="J582">
        <f t="shared" si="27"/>
        <v>0</v>
      </c>
      <c r="K582" t="s">
        <v>20</v>
      </c>
      <c r="L582">
        <f t="shared" si="28"/>
        <v>1</v>
      </c>
      <c r="M582">
        <v>9</v>
      </c>
      <c r="N582">
        <v>1</v>
      </c>
      <c r="O582">
        <f t="shared" si="29"/>
        <v>0</v>
      </c>
    </row>
    <row r="583" spans="1:15" x14ac:dyDescent="0.3">
      <c r="A583" t="s">
        <v>15</v>
      </c>
      <c r="B583" t="s">
        <v>169</v>
      </c>
      <c r="C583" t="s">
        <v>170</v>
      </c>
      <c r="D583">
        <v>2</v>
      </c>
      <c r="E583" t="s">
        <v>25</v>
      </c>
      <c r="F583" t="s">
        <v>26</v>
      </c>
      <c r="G583">
        <v>33</v>
      </c>
      <c r="H583">
        <v>31</v>
      </c>
      <c r="I583">
        <v>64</v>
      </c>
      <c r="J583">
        <f t="shared" si="27"/>
        <v>2</v>
      </c>
      <c r="K583" t="s">
        <v>20</v>
      </c>
      <c r="L583">
        <f t="shared" si="28"/>
        <v>1</v>
      </c>
      <c r="M583">
        <v>7</v>
      </c>
      <c r="N583">
        <v>1</v>
      </c>
      <c r="O583">
        <f t="shared" si="29"/>
        <v>1</v>
      </c>
    </row>
    <row r="584" spans="1:15" x14ac:dyDescent="0.3">
      <c r="A584" t="s">
        <v>15</v>
      </c>
      <c r="B584" t="s">
        <v>169</v>
      </c>
      <c r="C584" t="s">
        <v>170</v>
      </c>
      <c r="D584">
        <v>2</v>
      </c>
      <c r="E584" t="s">
        <v>27</v>
      </c>
      <c r="F584" t="s">
        <v>28</v>
      </c>
      <c r="G584">
        <v>29</v>
      </c>
      <c r="H584">
        <v>30</v>
      </c>
      <c r="I584">
        <v>59</v>
      </c>
      <c r="J584">
        <f t="shared" si="27"/>
        <v>-1</v>
      </c>
      <c r="K584" t="s">
        <v>20</v>
      </c>
      <c r="L584">
        <f t="shared" si="28"/>
        <v>1</v>
      </c>
      <c r="M584">
        <v>6</v>
      </c>
      <c r="N584">
        <v>2</v>
      </c>
      <c r="O584">
        <f t="shared" si="29"/>
        <v>1</v>
      </c>
    </row>
    <row r="585" spans="1:15" x14ac:dyDescent="0.3">
      <c r="A585" t="s">
        <v>15</v>
      </c>
      <c r="B585" t="s">
        <v>169</v>
      </c>
      <c r="C585" t="s">
        <v>170</v>
      </c>
      <c r="D585">
        <v>2</v>
      </c>
      <c r="E585" t="s">
        <v>109</v>
      </c>
      <c r="F585" t="s">
        <v>110</v>
      </c>
      <c r="G585">
        <v>91</v>
      </c>
      <c r="H585">
        <v>0</v>
      </c>
      <c r="I585">
        <v>91</v>
      </c>
      <c r="J585">
        <f t="shared" si="27"/>
        <v>0</v>
      </c>
      <c r="K585" t="s">
        <v>20</v>
      </c>
      <c r="L585">
        <f t="shared" si="28"/>
        <v>1</v>
      </c>
      <c r="M585">
        <v>10</v>
      </c>
      <c r="N585">
        <v>1</v>
      </c>
      <c r="O585">
        <f t="shared" si="29"/>
        <v>0</v>
      </c>
    </row>
    <row r="586" spans="1:15" x14ac:dyDescent="0.3">
      <c r="A586" t="s">
        <v>15</v>
      </c>
      <c r="B586" t="s">
        <v>169</v>
      </c>
      <c r="C586" t="s">
        <v>170</v>
      </c>
      <c r="D586">
        <v>2</v>
      </c>
      <c r="E586" t="s">
        <v>31</v>
      </c>
      <c r="F586" t="s">
        <v>32</v>
      </c>
      <c r="G586">
        <v>94</v>
      </c>
      <c r="H586">
        <v>0</v>
      </c>
      <c r="I586">
        <v>94</v>
      </c>
      <c r="J586">
        <f t="shared" si="27"/>
        <v>0</v>
      </c>
      <c r="K586" t="s">
        <v>20</v>
      </c>
      <c r="L586">
        <f t="shared" si="28"/>
        <v>1</v>
      </c>
      <c r="M586">
        <v>10</v>
      </c>
      <c r="N586">
        <v>1</v>
      </c>
      <c r="O586">
        <f t="shared" si="29"/>
        <v>0</v>
      </c>
    </row>
    <row r="587" spans="1:15" x14ac:dyDescent="0.3">
      <c r="A587" t="s">
        <v>15</v>
      </c>
      <c r="B587" t="s">
        <v>169</v>
      </c>
      <c r="C587" t="s">
        <v>170</v>
      </c>
      <c r="D587">
        <v>2</v>
      </c>
      <c r="E587" t="s">
        <v>33</v>
      </c>
      <c r="F587" t="s">
        <v>34</v>
      </c>
      <c r="G587">
        <v>40</v>
      </c>
      <c r="H587">
        <v>23</v>
      </c>
      <c r="I587">
        <v>63</v>
      </c>
      <c r="J587">
        <f t="shared" si="27"/>
        <v>17</v>
      </c>
      <c r="K587" t="s">
        <v>20</v>
      </c>
      <c r="L587">
        <f t="shared" si="28"/>
        <v>1</v>
      </c>
      <c r="M587">
        <v>7</v>
      </c>
      <c r="N587">
        <v>4</v>
      </c>
      <c r="O587">
        <f t="shared" si="29"/>
        <v>1</v>
      </c>
    </row>
    <row r="588" spans="1:15" x14ac:dyDescent="0.3">
      <c r="A588" t="s">
        <v>15</v>
      </c>
      <c r="B588" t="s">
        <v>169</v>
      </c>
      <c r="C588" t="s">
        <v>170</v>
      </c>
      <c r="D588">
        <v>2</v>
      </c>
      <c r="E588" t="s">
        <v>35</v>
      </c>
      <c r="F588" t="s">
        <v>36</v>
      </c>
      <c r="G588">
        <v>23</v>
      </c>
      <c r="H588">
        <v>38</v>
      </c>
      <c r="I588">
        <v>61</v>
      </c>
      <c r="J588">
        <f t="shared" si="27"/>
        <v>-15</v>
      </c>
      <c r="K588" t="s">
        <v>20</v>
      </c>
      <c r="L588">
        <f t="shared" si="28"/>
        <v>1</v>
      </c>
      <c r="M588">
        <v>6</v>
      </c>
      <c r="N588">
        <v>3</v>
      </c>
      <c r="O588">
        <f t="shared" si="29"/>
        <v>1</v>
      </c>
    </row>
    <row r="589" spans="1:15" x14ac:dyDescent="0.3">
      <c r="A589" t="s">
        <v>15</v>
      </c>
      <c r="B589" t="s">
        <v>169</v>
      </c>
      <c r="C589" t="s">
        <v>170</v>
      </c>
      <c r="D589">
        <v>2</v>
      </c>
      <c r="E589" t="s">
        <v>37</v>
      </c>
      <c r="F589" t="s">
        <v>38</v>
      </c>
      <c r="G589">
        <v>26</v>
      </c>
      <c r="H589">
        <v>31</v>
      </c>
      <c r="I589">
        <v>57</v>
      </c>
      <c r="J589">
        <f t="shared" si="27"/>
        <v>-5</v>
      </c>
      <c r="K589" t="s">
        <v>20</v>
      </c>
      <c r="L589">
        <f t="shared" si="28"/>
        <v>1</v>
      </c>
      <c r="M589">
        <v>6</v>
      </c>
      <c r="N589">
        <v>3</v>
      </c>
      <c r="O589">
        <f t="shared" si="29"/>
        <v>1</v>
      </c>
    </row>
    <row r="590" spans="1:15" x14ac:dyDescent="0.3">
      <c r="A590" t="s">
        <v>15</v>
      </c>
      <c r="B590" t="s">
        <v>169</v>
      </c>
      <c r="C590" t="s">
        <v>170</v>
      </c>
      <c r="D590">
        <v>1</v>
      </c>
      <c r="E590" t="s">
        <v>39</v>
      </c>
      <c r="F590" t="s">
        <v>40</v>
      </c>
      <c r="G590">
        <v>88</v>
      </c>
      <c r="H590">
        <v>0</v>
      </c>
      <c r="I590">
        <v>88</v>
      </c>
      <c r="J590">
        <f t="shared" si="27"/>
        <v>0</v>
      </c>
      <c r="K590" t="s">
        <v>20</v>
      </c>
      <c r="L590">
        <f t="shared" si="28"/>
        <v>1</v>
      </c>
      <c r="M590">
        <v>9</v>
      </c>
      <c r="N590">
        <v>1</v>
      </c>
      <c r="O590">
        <f t="shared" si="29"/>
        <v>0</v>
      </c>
    </row>
    <row r="591" spans="1:15" x14ac:dyDescent="0.3">
      <c r="A591" t="s">
        <v>15</v>
      </c>
      <c r="B591" t="s">
        <v>169</v>
      </c>
      <c r="C591" t="s">
        <v>170</v>
      </c>
      <c r="D591">
        <v>1</v>
      </c>
      <c r="E591" t="s">
        <v>41</v>
      </c>
      <c r="F591" t="s">
        <v>42</v>
      </c>
      <c r="G591">
        <v>24</v>
      </c>
      <c r="H591">
        <v>32</v>
      </c>
      <c r="I591">
        <v>56</v>
      </c>
      <c r="J591">
        <f t="shared" si="27"/>
        <v>-8</v>
      </c>
      <c r="K591" t="s">
        <v>20</v>
      </c>
      <c r="L591">
        <f t="shared" si="28"/>
        <v>1</v>
      </c>
      <c r="M591">
        <v>7</v>
      </c>
      <c r="N591">
        <v>3</v>
      </c>
      <c r="O591">
        <f t="shared" si="29"/>
        <v>1</v>
      </c>
    </row>
    <row r="592" spans="1:15" x14ac:dyDescent="0.3">
      <c r="A592" t="s">
        <v>15</v>
      </c>
      <c r="B592" t="s">
        <v>169</v>
      </c>
      <c r="C592" t="s">
        <v>170</v>
      </c>
      <c r="D592">
        <v>1</v>
      </c>
      <c r="E592" t="s">
        <v>43</v>
      </c>
      <c r="F592" t="s">
        <v>44</v>
      </c>
      <c r="G592">
        <v>78</v>
      </c>
      <c r="H592">
        <v>0</v>
      </c>
      <c r="I592">
        <v>78</v>
      </c>
      <c r="J592">
        <f t="shared" si="27"/>
        <v>0</v>
      </c>
      <c r="K592" t="s">
        <v>20</v>
      </c>
      <c r="L592">
        <f t="shared" si="28"/>
        <v>1</v>
      </c>
      <c r="M592">
        <v>8</v>
      </c>
      <c r="N592">
        <v>1</v>
      </c>
      <c r="O592">
        <f t="shared" si="29"/>
        <v>0</v>
      </c>
    </row>
    <row r="593" spans="1:15" x14ac:dyDescent="0.3">
      <c r="A593" t="s">
        <v>15</v>
      </c>
      <c r="B593" t="s">
        <v>169</v>
      </c>
      <c r="C593" t="s">
        <v>170</v>
      </c>
      <c r="D593">
        <v>1</v>
      </c>
      <c r="E593" t="s">
        <v>45</v>
      </c>
      <c r="F593" t="s">
        <v>46</v>
      </c>
      <c r="G593">
        <v>26</v>
      </c>
      <c r="H593">
        <v>41</v>
      </c>
      <c r="I593">
        <v>67</v>
      </c>
      <c r="J593">
        <f t="shared" si="27"/>
        <v>-15</v>
      </c>
      <c r="K593" t="s">
        <v>20</v>
      </c>
      <c r="L593">
        <f t="shared" si="28"/>
        <v>1</v>
      </c>
      <c r="M593">
        <v>7</v>
      </c>
      <c r="N593">
        <v>1</v>
      </c>
      <c r="O593">
        <f t="shared" si="29"/>
        <v>1</v>
      </c>
    </row>
    <row r="594" spans="1:15" x14ac:dyDescent="0.3">
      <c r="A594" t="s">
        <v>15</v>
      </c>
      <c r="B594" t="s">
        <v>169</v>
      </c>
      <c r="C594" t="s">
        <v>170</v>
      </c>
      <c r="D594">
        <v>1</v>
      </c>
      <c r="E594" t="s">
        <v>71</v>
      </c>
      <c r="F594" t="s">
        <v>72</v>
      </c>
      <c r="G594">
        <v>92</v>
      </c>
      <c r="H594">
        <v>0</v>
      </c>
      <c r="I594">
        <v>92</v>
      </c>
      <c r="J594">
        <f t="shared" si="27"/>
        <v>0</v>
      </c>
      <c r="K594" t="s">
        <v>20</v>
      </c>
      <c r="L594">
        <f t="shared" si="28"/>
        <v>1</v>
      </c>
      <c r="M594">
        <v>10</v>
      </c>
      <c r="N594">
        <v>1</v>
      </c>
      <c r="O594">
        <f t="shared" si="29"/>
        <v>0</v>
      </c>
    </row>
    <row r="595" spans="1:15" x14ac:dyDescent="0.3">
      <c r="A595" t="s">
        <v>15</v>
      </c>
      <c r="B595" t="s">
        <v>169</v>
      </c>
      <c r="C595" t="s">
        <v>170</v>
      </c>
      <c r="D595">
        <v>1</v>
      </c>
      <c r="E595" t="s">
        <v>49</v>
      </c>
      <c r="F595" t="s">
        <v>50</v>
      </c>
      <c r="G595">
        <v>90</v>
      </c>
      <c r="H595">
        <v>0</v>
      </c>
      <c r="I595">
        <v>90</v>
      </c>
      <c r="J595">
        <f t="shared" si="27"/>
        <v>0</v>
      </c>
      <c r="K595" t="s">
        <v>20</v>
      </c>
      <c r="L595">
        <f t="shared" si="28"/>
        <v>1</v>
      </c>
      <c r="M595">
        <v>9</v>
      </c>
      <c r="N595">
        <v>1</v>
      </c>
      <c r="O595">
        <f t="shared" si="29"/>
        <v>0</v>
      </c>
    </row>
    <row r="596" spans="1:15" x14ac:dyDescent="0.3">
      <c r="A596" t="s">
        <v>15</v>
      </c>
      <c r="B596" t="s">
        <v>169</v>
      </c>
      <c r="C596" t="s">
        <v>170</v>
      </c>
      <c r="D596">
        <v>1</v>
      </c>
      <c r="E596" t="s">
        <v>51</v>
      </c>
      <c r="F596" t="s">
        <v>52</v>
      </c>
      <c r="G596">
        <v>80</v>
      </c>
      <c r="H596">
        <v>0</v>
      </c>
      <c r="I596">
        <v>80</v>
      </c>
      <c r="J596">
        <f t="shared" si="27"/>
        <v>0</v>
      </c>
      <c r="K596" t="s">
        <v>20</v>
      </c>
      <c r="L596">
        <f t="shared" si="28"/>
        <v>1</v>
      </c>
      <c r="M596">
        <v>8</v>
      </c>
      <c r="N596">
        <v>1</v>
      </c>
      <c r="O596">
        <f t="shared" si="29"/>
        <v>0</v>
      </c>
    </row>
    <row r="597" spans="1:15" x14ac:dyDescent="0.3">
      <c r="A597" t="s">
        <v>15</v>
      </c>
      <c r="B597" t="s">
        <v>169</v>
      </c>
      <c r="C597" t="s">
        <v>170</v>
      </c>
      <c r="D597">
        <v>1</v>
      </c>
      <c r="E597" t="s">
        <v>53</v>
      </c>
      <c r="F597" t="s">
        <v>54</v>
      </c>
      <c r="G597">
        <v>38</v>
      </c>
      <c r="H597">
        <v>36</v>
      </c>
      <c r="I597">
        <v>74</v>
      </c>
      <c r="J597">
        <f t="shared" si="27"/>
        <v>2</v>
      </c>
      <c r="K597" t="s">
        <v>20</v>
      </c>
      <c r="L597">
        <f t="shared" si="28"/>
        <v>1</v>
      </c>
      <c r="M597">
        <v>8</v>
      </c>
      <c r="N597">
        <v>4</v>
      </c>
      <c r="O597">
        <f t="shared" si="29"/>
        <v>1</v>
      </c>
    </row>
    <row r="598" spans="1:15" x14ac:dyDescent="0.3">
      <c r="A598" t="s">
        <v>15</v>
      </c>
      <c r="B598" t="s">
        <v>169</v>
      </c>
      <c r="C598" t="s">
        <v>170</v>
      </c>
      <c r="D598">
        <v>1</v>
      </c>
      <c r="E598" t="s">
        <v>55</v>
      </c>
      <c r="F598" t="s">
        <v>56</v>
      </c>
      <c r="G598">
        <v>40</v>
      </c>
      <c r="H598">
        <v>29</v>
      </c>
      <c r="I598">
        <v>69</v>
      </c>
      <c r="J598">
        <f t="shared" si="27"/>
        <v>11</v>
      </c>
      <c r="K598" t="s">
        <v>20</v>
      </c>
      <c r="L598">
        <f t="shared" si="28"/>
        <v>1</v>
      </c>
      <c r="M598">
        <v>7</v>
      </c>
      <c r="N598">
        <v>3</v>
      </c>
      <c r="O598">
        <f t="shared" si="29"/>
        <v>1</v>
      </c>
    </row>
    <row r="599" spans="1:15" x14ac:dyDescent="0.3">
      <c r="A599" t="s">
        <v>15</v>
      </c>
      <c r="B599" t="s">
        <v>169</v>
      </c>
      <c r="C599" t="s">
        <v>170</v>
      </c>
      <c r="D599">
        <v>1</v>
      </c>
      <c r="E599" t="s">
        <v>57</v>
      </c>
      <c r="F599" t="s">
        <v>58</v>
      </c>
      <c r="G599">
        <v>34</v>
      </c>
      <c r="H599">
        <v>33</v>
      </c>
      <c r="I599">
        <v>67</v>
      </c>
      <c r="J599">
        <f t="shared" si="27"/>
        <v>1</v>
      </c>
      <c r="K599" t="s">
        <v>20</v>
      </c>
      <c r="L599">
        <f t="shared" si="28"/>
        <v>1</v>
      </c>
      <c r="M599">
        <v>8</v>
      </c>
      <c r="N599">
        <v>4</v>
      </c>
      <c r="O599">
        <f t="shared" si="29"/>
        <v>1</v>
      </c>
    </row>
    <row r="600" spans="1:15" x14ac:dyDescent="0.3">
      <c r="A600" t="s">
        <v>15</v>
      </c>
      <c r="B600" t="s">
        <v>171</v>
      </c>
      <c r="C600" t="s">
        <v>172</v>
      </c>
      <c r="D600">
        <v>2</v>
      </c>
      <c r="E600" t="s">
        <v>21</v>
      </c>
      <c r="F600" t="s">
        <v>22</v>
      </c>
      <c r="G600">
        <v>39</v>
      </c>
      <c r="H600">
        <v>10</v>
      </c>
      <c r="I600">
        <v>49</v>
      </c>
      <c r="J600">
        <f t="shared" si="27"/>
        <v>29</v>
      </c>
      <c r="K600" t="s">
        <v>87</v>
      </c>
      <c r="L600">
        <f t="shared" si="28"/>
        <v>0</v>
      </c>
      <c r="M600">
        <v>0</v>
      </c>
      <c r="N600">
        <v>4</v>
      </c>
      <c r="O600">
        <f t="shared" si="29"/>
        <v>1</v>
      </c>
    </row>
    <row r="601" spans="1:15" x14ac:dyDescent="0.3">
      <c r="A601" t="s">
        <v>15</v>
      </c>
      <c r="B601" t="s">
        <v>171</v>
      </c>
      <c r="C601" t="s">
        <v>172</v>
      </c>
      <c r="D601">
        <v>2</v>
      </c>
      <c r="E601" t="s">
        <v>33</v>
      </c>
      <c r="F601" t="s">
        <v>34</v>
      </c>
      <c r="G601">
        <v>41</v>
      </c>
      <c r="H601">
        <v>11</v>
      </c>
      <c r="I601">
        <v>52</v>
      </c>
      <c r="J601">
        <f t="shared" si="27"/>
        <v>30</v>
      </c>
      <c r="K601" t="s">
        <v>87</v>
      </c>
      <c r="L601">
        <f t="shared" si="28"/>
        <v>0</v>
      </c>
      <c r="M601">
        <v>0</v>
      </c>
      <c r="N601">
        <v>4</v>
      </c>
      <c r="O601">
        <f t="shared" si="29"/>
        <v>1</v>
      </c>
    </row>
    <row r="602" spans="1:15" x14ac:dyDescent="0.3">
      <c r="A602" t="s">
        <v>15</v>
      </c>
      <c r="B602" t="s">
        <v>171</v>
      </c>
      <c r="C602" t="s">
        <v>172</v>
      </c>
      <c r="D602">
        <v>2</v>
      </c>
      <c r="E602" t="s">
        <v>18</v>
      </c>
      <c r="F602" t="s">
        <v>19</v>
      </c>
      <c r="G602">
        <v>45</v>
      </c>
      <c r="H602">
        <v>39</v>
      </c>
      <c r="I602">
        <v>84</v>
      </c>
      <c r="J602">
        <f t="shared" si="27"/>
        <v>6</v>
      </c>
      <c r="K602" t="s">
        <v>20</v>
      </c>
      <c r="L602">
        <f t="shared" si="28"/>
        <v>1</v>
      </c>
      <c r="M602">
        <v>8</v>
      </c>
      <c r="N602">
        <v>4</v>
      </c>
      <c r="O602">
        <f t="shared" si="29"/>
        <v>1</v>
      </c>
    </row>
    <row r="603" spans="1:15" x14ac:dyDescent="0.3">
      <c r="A603" t="s">
        <v>15</v>
      </c>
      <c r="B603" t="s">
        <v>171</v>
      </c>
      <c r="C603" t="s">
        <v>172</v>
      </c>
      <c r="D603">
        <v>2</v>
      </c>
      <c r="E603" t="s">
        <v>41</v>
      </c>
      <c r="F603" t="s">
        <v>42</v>
      </c>
      <c r="G603">
        <v>19</v>
      </c>
      <c r="H603">
        <v>34</v>
      </c>
      <c r="I603">
        <v>53</v>
      </c>
      <c r="J603">
        <f t="shared" si="27"/>
        <v>-15</v>
      </c>
      <c r="K603" t="s">
        <v>20</v>
      </c>
      <c r="L603">
        <f t="shared" si="28"/>
        <v>1</v>
      </c>
      <c r="M603">
        <v>6</v>
      </c>
      <c r="N603">
        <v>3</v>
      </c>
      <c r="O603">
        <f t="shared" si="29"/>
        <v>1</v>
      </c>
    </row>
    <row r="604" spans="1:15" x14ac:dyDescent="0.3">
      <c r="A604" t="s">
        <v>15</v>
      </c>
      <c r="B604" t="s">
        <v>171</v>
      </c>
      <c r="C604" t="s">
        <v>172</v>
      </c>
      <c r="D604">
        <v>2</v>
      </c>
      <c r="E604" t="s">
        <v>23</v>
      </c>
      <c r="F604" t="s">
        <v>24</v>
      </c>
      <c r="G604">
        <v>80</v>
      </c>
      <c r="H604">
        <v>0</v>
      </c>
      <c r="I604">
        <v>80</v>
      </c>
      <c r="J604">
        <f t="shared" si="27"/>
        <v>0</v>
      </c>
      <c r="K604" t="s">
        <v>20</v>
      </c>
      <c r="L604">
        <f t="shared" si="28"/>
        <v>1</v>
      </c>
      <c r="M604">
        <v>8</v>
      </c>
      <c r="N604">
        <v>1</v>
      </c>
      <c r="O604">
        <f t="shared" si="29"/>
        <v>0</v>
      </c>
    </row>
    <row r="605" spans="1:15" x14ac:dyDescent="0.3">
      <c r="A605" t="s">
        <v>15</v>
      </c>
      <c r="B605" t="s">
        <v>171</v>
      </c>
      <c r="C605" t="s">
        <v>172</v>
      </c>
      <c r="D605">
        <v>2</v>
      </c>
      <c r="E605" t="s">
        <v>25</v>
      </c>
      <c r="F605" t="s">
        <v>26</v>
      </c>
      <c r="G605">
        <v>36</v>
      </c>
      <c r="H605">
        <v>30</v>
      </c>
      <c r="I605">
        <v>66</v>
      </c>
      <c r="J605">
        <f t="shared" si="27"/>
        <v>6</v>
      </c>
      <c r="K605" t="s">
        <v>20</v>
      </c>
      <c r="L605">
        <f t="shared" si="28"/>
        <v>1</v>
      </c>
      <c r="M605">
        <v>7</v>
      </c>
      <c r="N605">
        <v>1</v>
      </c>
      <c r="O605">
        <f t="shared" si="29"/>
        <v>1</v>
      </c>
    </row>
    <row r="606" spans="1:15" x14ac:dyDescent="0.3">
      <c r="A606" t="s">
        <v>15</v>
      </c>
      <c r="B606" t="s">
        <v>171</v>
      </c>
      <c r="C606" t="s">
        <v>172</v>
      </c>
      <c r="D606">
        <v>2</v>
      </c>
      <c r="E606" t="s">
        <v>61</v>
      </c>
      <c r="F606" t="s">
        <v>62</v>
      </c>
      <c r="G606">
        <v>35</v>
      </c>
      <c r="H606">
        <v>37</v>
      </c>
      <c r="I606">
        <v>72</v>
      </c>
      <c r="J606">
        <f t="shared" si="27"/>
        <v>-2</v>
      </c>
      <c r="K606" t="s">
        <v>20</v>
      </c>
      <c r="L606">
        <f t="shared" si="28"/>
        <v>1</v>
      </c>
      <c r="M606">
        <v>8</v>
      </c>
      <c r="N606">
        <v>2</v>
      </c>
      <c r="O606">
        <f t="shared" si="29"/>
        <v>1</v>
      </c>
    </row>
    <row r="607" spans="1:15" x14ac:dyDescent="0.3">
      <c r="A607" t="s">
        <v>15</v>
      </c>
      <c r="B607" t="s">
        <v>171</v>
      </c>
      <c r="C607" t="s">
        <v>172</v>
      </c>
      <c r="D607">
        <v>2</v>
      </c>
      <c r="E607" t="s">
        <v>165</v>
      </c>
      <c r="F607" t="s">
        <v>166</v>
      </c>
      <c r="G607">
        <v>97</v>
      </c>
      <c r="H607">
        <v>0</v>
      </c>
      <c r="I607">
        <v>97</v>
      </c>
      <c r="J607">
        <f t="shared" si="27"/>
        <v>0</v>
      </c>
      <c r="K607" t="s">
        <v>20</v>
      </c>
      <c r="L607">
        <f t="shared" si="28"/>
        <v>1</v>
      </c>
      <c r="M607">
        <v>10</v>
      </c>
      <c r="N607">
        <v>1</v>
      </c>
      <c r="O607">
        <f t="shared" si="29"/>
        <v>0</v>
      </c>
    </row>
    <row r="608" spans="1:15" x14ac:dyDescent="0.3">
      <c r="A608" t="s">
        <v>15</v>
      </c>
      <c r="B608" t="s">
        <v>171</v>
      </c>
      <c r="C608" t="s">
        <v>172</v>
      </c>
      <c r="D608">
        <v>2</v>
      </c>
      <c r="E608" t="s">
        <v>31</v>
      </c>
      <c r="F608" t="s">
        <v>32</v>
      </c>
      <c r="G608">
        <v>96</v>
      </c>
      <c r="H608">
        <v>0</v>
      </c>
      <c r="I608">
        <v>96</v>
      </c>
      <c r="J608">
        <f t="shared" si="27"/>
        <v>0</v>
      </c>
      <c r="K608" t="s">
        <v>20</v>
      </c>
      <c r="L608">
        <f t="shared" si="28"/>
        <v>1</v>
      </c>
      <c r="M608">
        <v>10</v>
      </c>
      <c r="N608">
        <v>1</v>
      </c>
      <c r="O608">
        <f t="shared" si="29"/>
        <v>0</v>
      </c>
    </row>
    <row r="609" spans="1:15" x14ac:dyDescent="0.3">
      <c r="A609" t="s">
        <v>15</v>
      </c>
      <c r="B609" t="s">
        <v>171</v>
      </c>
      <c r="C609" t="s">
        <v>172</v>
      </c>
      <c r="D609">
        <v>2</v>
      </c>
      <c r="E609" t="s">
        <v>35</v>
      </c>
      <c r="F609" t="s">
        <v>36</v>
      </c>
      <c r="G609">
        <v>20</v>
      </c>
      <c r="H609">
        <v>30</v>
      </c>
      <c r="I609">
        <v>50</v>
      </c>
      <c r="J609">
        <f t="shared" si="27"/>
        <v>-10</v>
      </c>
      <c r="K609" t="s">
        <v>20</v>
      </c>
      <c r="L609">
        <f t="shared" si="28"/>
        <v>1</v>
      </c>
      <c r="M609">
        <v>5</v>
      </c>
      <c r="N609">
        <v>3</v>
      </c>
      <c r="O609">
        <f t="shared" si="29"/>
        <v>1</v>
      </c>
    </row>
    <row r="610" spans="1:15" x14ac:dyDescent="0.3">
      <c r="A610" t="s">
        <v>15</v>
      </c>
      <c r="B610" t="s">
        <v>171</v>
      </c>
      <c r="C610" t="s">
        <v>172</v>
      </c>
      <c r="D610">
        <v>2</v>
      </c>
      <c r="E610" t="s">
        <v>37</v>
      </c>
      <c r="F610" t="s">
        <v>38</v>
      </c>
      <c r="G610">
        <v>30</v>
      </c>
      <c r="H610">
        <v>35</v>
      </c>
      <c r="I610">
        <v>65</v>
      </c>
      <c r="J610">
        <f t="shared" si="27"/>
        <v>-5</v>
      </c>
      <c r="K610" t="s">
        <v>20</v>
      </c>
      <c r="L610">
        <f t="shared" si="28"/>
        <v>1</v>
      </c>
      <c r="M610">
        <v>7</v>
      </c>
      <c r="N610">
        <v>3</v>
      </c>
      <c r="O610">
        <f t="shared" si="29"/>
        <v>1</v>
      </c>
    </row>
    <row r="611" spans="1:15" x14ac:dyDescent="0.3">
      <c r="A611" t="s">
        <v>15</v>
      </c>
      <c r="B611" t="s">
        <v>171</v>
      </c>
      <c r="C611" t="s">
        <v>172</v>
      </c>
      <c r="D611">
        <v>1</v>
      </c>
      <c r="E611" t="s">
        <v>39</v>
      </c>
      <c r="F611" t="s">
        <v>40</v>
      </c>
      <c r="G611">
        <v>97</v>
      </c>
      <c r="H611">
        <v>0</v>
      </c>
      <c r="I611">
        <v>97</v>
      </c>
      <c r="J611">
        <f t="shared" si="27"/>
        <v>0</v>
      </c>
      <c r="K611" t="s">
        <v>20</v>
      </c>
      <c r="L611">
        <f t="shared" si="28"/>
        <v>1</v>
      </c>
      <c r="M611">
        <v>10</v>
      </c>
      <c r="N611">
        <v>1</v>
      </c>
      <c r="O611">
        <f t="shared" si="29"/>
        <v>0</v>
      </c>
    </row>
    <row r="612" spans="1:15" x14ac:dyDescent="0.3">
      <c r="A612" t="s">
        <v>15</v>
      </c>
      <c r="B612" t="s">
        <v>171</v>
      </c>
      <c r="C612" t="s">
        <v>172</v>
      </c>
      <c r="D612">
        <v>1</v>
      </c>
      <c r="E612" t="s">
        <v>41</v>
      </c>
      <c r="F612" t="s">
        <v>42</v>
      </c>
      <c r="G612">
        <v>19</v>
      </c>
      <c r="H612">
        <v>18</v>
      </c>
      <c r="I612">
        <v>37</v>
      </c>
      <c r="J612">
        <f t="shared" si="27"/>
        <v>1</v>
      </c>
      <c r="K612" t="s">
        <v>87</v>
      </c>
      <c r="L612">
        <f t="shared" si="28"/>
        <v>0</v>
      </c>
      <c r="M612">
        <v>0</v>
      </c>
      <c r="N612">
        <v>3</v>
      </c>
      <c r="O612">
        <f t="shared" si="29"/>
        <v>1</v>
      </c>
    </row>
    <row r="613" spans="1:15" x14ac:dyDescent="0.3">
      <c r="A613" t="s">
        <v>15</v>
      </c>
      <c r="B613" t="s">
        <v>171</v>
      </c>
      <c r="C613" t="s">
        <v>172</v>
      </c>
      <c r="D613">
        <v>1</v>
      </c>
      <c r="E613" t="s">
        <v>43</v>
      </c>
      <c r="F613" t="s">
        <v>44</v>
      </c>
      <c r="G613">
        <v>76</v>
      </c>
      <c r="H613">
        <v>0</v>
      </c>
      <c r="I613">
        <v>76</v>
      </c>
      <c r="J613">
        <f t="shared" si="27"/>
        <v>0</v>
      </c>
      <c r="K613" t="s">
        <v>20</v>
      </c>
      <c r="L613">
        <f t="shared" si="28"/>
        <v>1</v>
      </c>
      <c r="M613">
        <v>8</v>
      </c>
      <c r="N613">
        <v>1</v>
      </c>
      <c r="O613">
        <f t="shared" si="29"/>
        <v>0</v>
      </c>
    </row>
    <row r="614" spans="1:15" x14ac:dyDescent="0.3">
      <c r="A614" t="s">
        <v>15</v>
      </c>
      <c r="B614" t="s">
        <v>171</v>
      </c>
      <c r="C614" t="s">
        <v>172</v>
      </c>
      <c r="D614">
        <v>1</v>
      </c>
      <c r="E614" t="s">
        <v>45</v>
      </c>
      <c r="F614" t="s">
        <v>46</v>
      </c>
      <c r="G614">
        <v>30</v>
      </c>
      <c r="H614">
        <v>48</v>
      </c>
      <c r="I614">
        <v>78</v>
      </c>
      <c r="J614">
        <f t="shared" si="27"/>
        <v>-18</v>
      </c>
      <c r="K614" t="s">
        <v>20</v>
      </c>
      <c r="L614">
        <f t="shared" si="28"/>
        <v>1</v>
      </c>
      <c r="M614">
        <v>8</v>
      </c>
      <c r="N614">
        <v>1</v>
      </c>
      <c r="O614">
        <f t="shared" si="29"/>
        <v>1</v>
      </c>
    </row>
    <row r="615" spans="1:15" x14ac:dyDescent="0.3">
      <c r="A615" t="s">
        <v>15</v>
      </c>
      <c r="B615" t="s">
        <v>171</v>
      </c>
      <c r="C615" t="s">
        <v>172</v>
      </c>
      <c r="D615">
        <v>1</v>
      </c>
      <c r="E615" t="s">
        <v>173</v>
      </c>
      <c r="F615" t="s">
        <v>174</v>
      </c>
      <c r="G615">
        <v>81</v>
      </c>
      <c r="H615">
        <v>0</v>
      </c>
      <c r="I615">
        <v>81</v>
      </c>
      <c r="J615">
        <f t="shared" si="27"/>
        <v>0</v>
      </c>
      <c r="K615" t="s">
        <v>20</v>
      </c>
      <c r="L615">
        <f t="shared" si="28"/>
        <v>1</v>
      </c>
      <c r="M615">
        <v>9</v>
      </c>
      <c r="N615">
        <v>1</v>
      </c>
      <c r="O615">
        <f t="shared" si="29"/>
        <v>0</v>
      </c>
    </row>
    <row r="616" spans="1:15" x14ac:dyDescent="0.3">
      <c r="A616" t="s">
        <v>15</v>
      </c>
      <c r="B616" t="s">
        <v>171</v>
      </c>
      <c r="C616" t="s">
        <v>172</v>
      </c>
      <c r="D616">
        <v>1</v>
      </c>
      <c r="E616" t="s">
        <v>49</v>
      </c>
      <c r="F616" t="s">
        <v>50</v>
      </c>
      <c r="G616">
        <v>100</v>
      </c>
      <c r="H616">
        <v>0</v>
      </c>
      <c r="I616">
        <v>100</v>
      </c>
      <c r="J616">
        <f t="shared" si="27"/>
        <v>0</v>
      </c>
      <c r="K616" t="s">
        <v>20</v>
      </c>
      <c r="L616">
        <f t="shared" si="28"/>
        <v>1</v>
      </c>
      <c r="M616">
        <v>10</v>
      </c>
      <c r="N616">
        <v>1</v>
      </c>
      <c r="O616">
        <f t="shared" si="29"/>
        <v>0</v>
      </c>
    </row>
    <row r="617" spans="1:15" x14ac:dyDescent="0.3">
      <c r="A617" t="s">
        <v>15</v>
      </c>
      <c r="B617" t="s">
        <v>171</v>
      </c>
      <c r="C617" t="s">
        <v>172</v>
      </c>
      <c r="D617">
        <v>1</v>
      </c>
      <c r="E617" t="s">
        <v>51</v>
      </c>
      <c r="F617" t="s">
        <v>52</v>
      </c>
      <c r="G617">
        <v>93</v>
      </c>
      <c r="H617">
        <v>0</v>
      </c>
      <c r="I617">
        <v>93</v>
      </c>
      <c r="J617">
        <f t="shared" si="27"/>
        <v>0</v>
      </c>
      <c r="K617" t="s">
        <v>20</v>
      </c>
      <c r="L617">
        <f t="shared" si="28"/>
        <v>1</v>
      </c>
      <c r="M617">
        <v>10</v>
      </c>
      <c r="N617">
        <v>1</v>
      </c>
      <c r="O617">
        <f t="shared" si="29"/>
        <v>0</v>
      </c>
    </row>
    <row r="618" spans="1:15" x14ac:dyDescent="0.3">
      <c r="A618" t="s">
        <v>15</v>
      </c>
      <c r="B618" t="s">
        <v>171</v>
      </c>
      <c r="C618" t="s">
        <v>172</v>
      </c>
      <c r="D618">
        <v>1</v>
      </c>
      <c r="E618" t="s">
        <v>53</v>
      </c>
      <c r="F618" t="s">
        <v>54</v>
      </c>
      <c r="G618">
        <v>42</v>
      </c>
      <c r="H618">
        <v>37</v>
      </c>
      <c r="I618">
        <v>79</v>
      </c>
      <c r="J618">
        <f t="shared" si="27"/>
        <v>5</v>
      </c>
      <c r="K618" t="s">
        <v>20</v>
      </c>
      <c r="L618">
        <f t="shared" si="28"/>
        <v>1</v>
      </c>
      <c r="M618">
        <v>8</v>
      </c>
      <c r="N618">
        <v>4</v>
      </c>
      <c r="O618">
        <f t="shared" si="29"/>
        <v>1</v>
      </c>
    </row>
    <row r="619" spans="1:15" x14ac:dyDescent="0.3">
      <c r="A619" t="s">
        <v>15</v>
      </c>
      <c r="B619" t="s">
        <v>171</v>
      </c>
      <c r="C619" t="s">
        <v>172</v>
      </c>
      <c r="D619">
        <v>1</v>
      </c>
      <c r="E619" t="s">
        <v>55</v>
      </c>
      <c r="F619" t="s">
        <v>56</v>
      </c>
      <c r="G619">
        <v>34</v>
      </c>
      <c r="H619">
        <v>31</v>
      </c>
      <c r="I619">
        <v>65</v>
      </c>
      <c r="J619">
        <f t="shared" si="27"/>
        <v>3</v>
      </c>
      <c r="K619" t="s">
        <v>20</v>
      </c>
      <c r="L619">
        <f t="shared" si="28"/>
        <v>1</v>
      </c>
      <c r="M619">
        <v>7</v>
      </c>
      <c r="N619">
        <v>3</v>
      </c>
      <c r="O619">
        <f t="shared" si="29"/>
        <v>1</v>
      </c>
    </row>
    <row r="620" spans="1:15" x14ac:dyDescent="0.3">
      <c r="A620" t="s">
        <v>15</v>
      </c>
      <c r="B620" t="s">
        <v>171</v>
      </c>
      <c r="C620" t="s">
        <v>172</v>
      </c>
      <c r="D620">
        <v>1</v>
      </c>
      <c r="E620" t="s">
        <v>57</v>
      </c>
      <c r="F620" t="s">
        <v>58</v>
      </c>
      <c r="G620">
        <v>34</v>
      </c>
      <c r="H620">
        <v>27</v>
      </c>
      <c r="I620">
        <v>61</v>
      </c>
      <c r="J620">
        <f t="shared" si="27"/>
        <v>7</v>
      </c>
      <c r="K620" t="s">
        <v>20</v>
      </c>
      <c r="L620">
        <f t="shared" si="28"/>
        <v>1</v>
      </c>
      <c r="M620">
        <v>7</v>
      </c>
      <c r="N620">
        <v>4</v>
      </c>
      <c r="O620">
        <f t="shared" si="29"/>
        <v>1</v>
      </c>
    </row>
    <row r="621" spans="1:15" x14ac:dyDescent="0.3">
      <c r="A621" t="s">
        <v>15</v>
      </c>
      <c r="B621" t="s">
        <v>175</v>
      </c>
      <c r="C621" t="s">
        <v>176</v>
      </c>
      <c r="D621">
        <v>2</v>
      </c>
      <c r="E621" t="s">
        <v>18</v>
      </c>
      <c r="F621" t="s">
        <v>19</v>
      </c>
      <c r="G621">
        <v>44</v>
      </c>
      <c r="H621">
        <v>30</v>
      </c>
      <c r="I621">
        <v>74</v>
      </c>
      <c r="J621">
        <f t="shared" si="27"/>
        <v>14</v>
      </c>
      <c r="K621" t="s">
        <v>20</v>
      </c>
      <c r="L621">
        <f t="shared" si="28"/>
        <v>1</v>
      </c>
      <c r="M621">
        <v>8</v>
      </c>
      <c r="N621">
        <v>4</v>
      </c>
      <c r="O621">
        <f t="shared" si="29"/>
        <v>1</v>
      </c>
    </row>
    <row r="622" spans="1:15" x14ac:dyDescent="0.3">
      <c r="A622" t="s">
        <v>15</v>
      </c>
      <c r="B622" t="s">
        <v>175</v>
      </c>
      <c r="C622" t="s">
        <v>176</v>
      </c>
      <c r="D622">
        <v>2</v>
      </c>
      <c r="E622" t="s">
        <v>21</v>
      </c>
      <c r="F622" t="s">
        <v>22</v>
      </c>
      <c r="G622">
        <v>36</v>
      </c>
      <c r="H622">
        <v>24</v>
      </c>
      <c r="I622">
        <v>60</v>
      </c>
      <c r="J622">
        <f t="shared" si="27"/>
        <v>12</v>
      </c>
      <c r="K622" t="s">
        <v>20</v>
      </c>
      <c r="L622">
        <f t="shared" si="28"/>
        <v>1</v>
      </c>
      <c r="M622">
        <v>6</v>
      </c>
      <c r="N622">
        <v>4</v>
      </c>
      <c r="O622">
        <f t="shared" si="29"/>
        <v>1</v>
      </c>
    </row>
    <row r="623" spans="1:15" x14ac:dyDescent="0.3">
      <c r="A623" t="s">
        <v>15</v>
      </c>
      <c r="B623" t="s">
        <v>175</v>
      </c>
      <c r="C623" t="s">
        <v>176</v>
      </c>
      <c r="D623">
        <v>2</v>
      </c>
      <c r="E623" t="s">
        <v>23</v>
      </c>
      <c r="F623" t="s">
        <v>24</v>
      </c>
      <c r="G623">
        <v>80</v>
      </c>
      <c r="H623">
        <v>0</v>
      </c>
      <c r="I623">
        <v>80</v>
      </c>
      <c r="J623">
        <f t="shared" si="27"/>
        <v>0</v>
      </c>
      <c r="K623" t="s">
        <v>20</v>
      </c>
      <c r="L623">
        <f t="shared" si="28"/>
        <v>1</v>
      </c>
      <c r="M623">
        <v>8</v>
      </c>
      <c r="N623">
        <v>1</v>
      </c>
      <c r="O623">
        <f t="shared" si="29"/>
        <v>0</v>
      </c>
    </row>
    <row r="624" spans="1:15" x14ac:dyDescent="0.3">
      <c r="A624" t="s">
        <v>15</v>
      </c>
      <c r="B624" t="s">
        <v>175</v>
      </c>
      <c r="C624" t="s">
        <v>176</v>
      </c>
      <c r="D624">
        <v>2</v>
      </c>
      <c r="E624" t="s">
        <v>25</v>
      </c>
      <c r="F624" t="s">
        <v>26</v>
      </c>
      <c r="G624">
        <v>37</v>
      </c>
      <c r="H624">
        <v>33</v>
      </c>
      <c r="I624">
        <v>70</v>
      </c>
      <c r="J624">
        <f t="shared" si="27"/>
        <v>4</v>
      </c>
      <c r="K624" t="s">
        <v>20</v>
      </c>
      <c r="L624">
        <f t="shared" si="28"/>
        <v>1</v>
      </c>
      <c r="M624">
        <v>7</v>
      </c>
      <c r="N624">
        <v>1</v>
      </c>
      <c r="O624">
        <f t="shared" si="29"/>
        <v>1</v>
      </c>
    </row>
    <row r="625" spans="1:15" x14ac:dyDescent="0.3">
      <c r="A625" t="s">
        <v>15</v>
      </c>
      <c r="B625" t="s">
        <v>175</v>
      </c>
      <c r="C625" t="s">
        <v>176</v>
      </c>
      <c r="D625">
        <v>2</v>
      </c>
      <c r="E625" t="s">
        <v>27</v>
      </c>
      <c r="F625" t="s">
        <v>28</v>
      </c>
      <c r="G625">
        <v>33</v>
      </c>
      <c r="H625">
        <v>29</v>
      </c>
      <c r="I625">
        <v>62</v>
      </c>
      <c r="J625">
        <f t="shared" si="27"/>
        <v>4</v>
      </c>
      <c r="K625" t="s">
        <v>20</v>
      </c>
      <c r="L625">
        <f t="shared" si="28"/>
        <v>1</v>
      </c>
      <c r="M625">
        <v>7</v>
      </c>
      <c r="N625">
        <v>2</v>
      </c>
      <c r="O625">
        <f t="shared" si="29"/>
        <v>1</v>
      </c>
    </row>
    <row r="626" spans="1:15" x14ac:dyDescent="0.3">
      <c r="A626" t="s">
        <v>15</v>
      </c>
      <c r="B626" t="s">
        <v>175</v>
      </c>
      <c r="C626" t="s">
        <v>176</v>
      </c>
      <c r="D626">
        <v>2</v>
      </c>
      <c r="E626" t="s">
        <v>177</v>
      </c>
      <c r="F626" t="s">
        <v>178</v>
      </c>
      <c r="G626">
        <v>88</v>
      </c>
      <c r="H626">
        <v>0</v>
      </c>
      <c r="I626">
        <v>88</v>
      </c>
      <c r="J626">
        <f t="shared" si="27"/>
        <v>0</v>
      </c>
      <c r="K626" t="s">
        <v>20</v>
      </c>
      <c r="L626">
        <f t="shared" si="28"/>
        <v>1</v>
      </c>
      <c r="M626">
        <v>9</v>
      </c>
      <c r="N626">
        <v>1</v>
      </c>
      <c r="O626">
        <f t="shared" si="29"/>
        <v>0</v>
      </c>
    </row>
    <row r="627" spans="1:15" x14ac:dyDescent="0.3">
      <c r="A627" t="s">
        <v>15</v>
      </c>
      <c r="B627" t="s">
        <v>175</v>
      </c>
      <c r="C627" t="s">
        <v>176</v>
      </c>
      <c r="D627">
        <v>2</v>
      </c>
      <c r="E627" t="s">
        <v>31</v>
      </c>
      <c r="F627" t="s">
        <v>32</v>
      </c>
      <c r="G627">
        <v>96</v>
      </c>
      <c r="H627">
        <v>0</v>
      </c>
      <c r="I627">
        <v>96</v>
      </c>
      <c r="J627">
        <f t="shared" si="27"/>
        <v>0</v>
      </c>
      <c r="K627" t="s">
        <v>20</v>
      </c>
      <c r="L627">
        <f t="shared" si="28"/>
        <v>1</v>
      </c>
      <c r="M627">
        <v>10</v>
      </c>
      <c r="N627">
        <v>1</v>
      </c>
      <c r="O627">
        <f t="shared" si="29"/>
        <v>0</v>
      </c>
    </row>
    <row r="628" spans="1:15" x14ac:dyDescent="0.3">
      <c r="A628" t="s">
        <v>15</v>
      </c>
      <c r="B628" t="s">
        <v>175</v>
      </c>
      <c r="C628" t="s">
        <v>176</v>
      </c>
      <c r="D628">
        <v>2</v>
      </c>
      <c r="E628" t="s">
        <v>33</v>
      </c>
      <c r="F628" t="s">
        <v>34</v>
      </c>
      <c r="G628">
        <v>37</v>
      </c>
      <c r="H628">
        <v>30</v>
      </c>
      <c r="I628">
        <v>67</v>
      </c>
      <c r="J628">
        <f t="shared" si="27"/>
        <v>7</v>
      </c>
      <c r="K628" t="s">
        <v>20</v>
      </c>
      <c r="L628">
        <f t="shared" si="28"/>
        <v>1</v>
      </c>
      <c r="M628">
        <v>7</v>
      </c>
      <c r="N628">
        <v>4</v>
      </c>
      <c r="O628">
        <f t="shared" si="29"/>
        <v>1</v>
      </c>
    </row>
    <row r="629" spans="1:15" x14ac:dyDescent="0.3">
      <c r="A629" t="s">
        <v>15</v>
      </c>
      <c r="B629" t="s">
        <v>175</v>
      </c>
      <c r="C629" t="s">
        <v>176</v>
      </c>
      <c r="D629">
        <v>2</v>
      </c>
      <c r="E629" t="s">
        <v>35</v>
      </c>
      <c r="F629" t="s">
        <v>36</v>
      </c>
      <c r="G629">
        <v>20</v>
      </c>
      <c r="H629">
        <v>47</v>
      </c>
      <c r="I629">
        <v>67</v>
      </c>
      <c r="J629">
        <f t="shared" si="27"/>
        <v>-27</v>
      </c>
      <c r="K629" t="s">
        <v>20</v>
      </c>
      <c r="L629">
        <f t="shared" si="28"/>
        <v>1</v>
      </c>
      <c r="M629">
        <v>7</v>
      </c>
      <c r="N629">
        <v>3</v>
      </c>
      <c r="O629">
        <f t="shared" si="29"/>
        <v>1</v>
      </c>
    </row>
    <row r="630" spans="1:15" x14ac:dyDescent="0.3">
      <c r="A630" t="s">
        <v>15</v>
      </c>
      <c r="B630" t="s">
        <v>175</v>
      </c>
      <c r="C630" t="s">
        <v>176</v>
      </c>
      <c r="D630">
        <v>2</v>
      </c>
      <c r="E630" t="s">
        <v>37</v>
      </c>
      <c r="F630" t="s">
        <v>38</v>
      </c>
      <c r="G630">
        <v>32</v>
      </c>
      <c r="H630">
        <v>40</v>
      </c>
      <c r="I630">
        <v>72</v>
      </c>
      <c r="J630">
        <f t="shared" si="27"/>
        <v>-8</v>
      </c>
      <c r="K630" t="s">
        <v>20</v>
      </c>
      <c r="L630">
        <f t="shared" si="28"/>
        <v>1</v>
      </c>
      <c r="M630">
        <v>8</v>
      </c>
      <c r="N630">
        <v>3</v>
      </c>
      <c r="O630">
        <f t="shared" si="29"/>
        <v>1</v>
      </c>
    </row>
    <row r="631" spans="1:15" x14ac:dyDescent="0.3">
      <c r="A631" t="s">
        <v>15</v>
      </c>
      <c r="B631" t="s">
        <v>175</v>
      </c>
      <c r="C631" t="s">
        <v>176</v>
      </c>
      <c r="D631">
        <v>1</v>
      </c>
      <c r="E631" t="s">
        <v>39</v>
      </c>
      <c r="F631" t="s">
        <v>40</v>
      </c>
      <c r="G631">
        <v>72</v>
      </c>
      <c r="H631">
        <v>0</v>
      </c>
      <c r="I631">
        <v>72</v>
      </c>
      <c r="J631">
        <f t="shared" si="27"/>
        <v>0</v>
      </c>
      <c r="K631" t="s">
        <v>20</v>
      </c>
      <c r="L631">
        <f t="shared" si="28"/>
        <v>1</v>
      </c>
      <c r="M631">
        <v>8</v>
      </c>
      <c r="N631">
        <v>1</v>
      </c>
      <c r="O631">
        <f t="shared" si="29"/>
        <v>0</v>
      </c>
    </row>
    <row r="632" spans="1:15" x14ac:dyDescent="0.3">
      <c r="A632" t="s">
        <v>15</v>
      </c>
      <c r="B632" t="s">
        <v>175</v>
      </c>
      <c r="C632" t="s">
        <v>176</v>
      </c>
      <c r="D632">
        <v>1</v>
      </c>
      <c r="E632" t="s">
        <v>41</v>
      </c>
      <c r="F632" t="s">
        <v>42</v>
      </c>
      <c r="G632">
        <v>14</v>
      </c>
      <c r="H632">
        <v>36</v>
      </c>
      <c r="I632">
        <v>50</v>
      </c>
      <c r="J632">
        <f t="shared" si="27"/>
        <v>-22</v>
      </c>
      <c r="K632" t="s">
        <v>20</v>
      </c>
      <c r="L632">
        <f t="shared" si="28"/>
        <v>1</v>
      </c>
      <c r="M632">
        <v>5</v>
      </c>
      <c r="N632">
        <v>3</v>
      </c>
      <c r="O632">
        <f t="shared" si="29"/>
        <v>1</v>
      </c>
    </row>
    <row r="633" spans="1:15" x14ac:dyDescent="0.3">
      <c r="A633" t="s">
        <v>15</v>
      </c>
      <c r="B633" t="s">
        <v>175</v>
      </c>
      <c r="C633" t="s">
        <v>176</v>
      </c>
      <c r="D633">
        <v>1</v>
      </c>
      <c r="E633" t="s">
        <v>43</v>
      </c>
      <c r="F633" t="s">
        <v>44</v>
      </c>
      <c r="G633">
        <v>83</v>
      </c>
      <c r="H633">
        <v>0</v>
      </c>
      <c r="I633">
        <v>83</v>
      </c>
      <c r="J633">
        <f t="shared" si="27"/>
        <v>0</v>
      </c>
      <c r="K633" t="s">
        <v>20</v>
      </c>
      <c r="L633">
        <f t="shared" si="28"/>
        <v>1</v>
      </c>
      <c r="M633">
        <v>9</v>
      </c>
      <c r="N633">
        <v>1</v>
      </c>
      <c r="O633">
        <f t="shared" si="29"/>
        <v>0</v>
      </c>
    </row>
    <row r="634" spans="1:15" x14ac:dyDescent="0.3">
      <c r="A634" t="s">
        <v>15</v>
      </c>
      <c r="B634" t="s">
        <v>175</v>
      </c>
      <c r="C634" t="s">
        <v>176</v>
      </c>
      <c r="D634">
        <v>1</v>
      </c>
      <c r="E634" t="s">
        <v>45</v>
      </c>
      <c r="F634" t="s">
        <v>46</v>
      </c>
      <c r="G634">
        <v>26</v>
      </c>
      <c r="H634">
        <v>37</v>
      </c>
      <c r="I634">
        <v>63</v>
      </c>
      <c r="J634">
        <f t="shared" si="27"/>
        <v>-11</v>
      </c>
      <c r="K634" t="s">
        <v>20</v>
      </c>
      <c r="L634">
        <f t="shared" si="28"/>
        <v>1</v>
      </c>
      <c r="M634">
        <v>7</v>
      </c>
      <c r="N634">
        <v>1</v>
      </c>
      <c r="O634">
        <f t="shared" si="29"/>
        <v>1</v>
      </c>
    </row>
    <row r="635" spans="1:15" x14ac:dyDescent="0.3">
      <c r="A635" t="s">
        <v>15</v>
      </c>
      <c r="B635" t="s">
        <v>175</v>
      </c>
      <c r="C635" t="s">
        <v>176</v>
      </c>
      <c r="D635">
        <v>1</v>
      </c>
      <c r="E635" t="s">
        <v>83</v>
      </c>
      <c r="F635" t="s">
        <v>84</v>
      </c>
      <c r="G635">
        <v>58</v>
      </c>
      <c r="H635">
        <v>38</v>
      </c>
      <c r="I635">
        <v>96</v>
      </c>
      <c r="J635">
        <f t="shared" si="27"/>
        <v>20</v>
      </c>
      <c r="K635" t="s">
        <v>20</v>
      </c>
      <c r="L635">
        <f t="shared" si="28"/>
        <v>1</v>
      </c>
      <c r="M635">
        <v>10</v>
      </c>
      <c r="N635">
        <v>3</v>
      </c>
      <c r="O635">
        <f t="shared" si="29"/>
        <v>1</v>
      </c>
    </row>
    <row r="636" spans="1:15" x14ac:dyDescent="0.3">
      <c r="A636" t="s">
        <v>15</v>
      </c>
      <c r="B636" t="s">
        <v>175</v>
      </c>
      <c r="C636" t="s">
        <v>176</v>
      </c>
      <c r="D636">
        <v>1</v>
      </c>
      <c r="E636" t="s">
        <v>53</v>
      </c>
      <c r="F636" t="s">
        <v>54</v>
      </c>
      <c r="G636">
        <v>43</v>
      </c>
      <c r="H636">
        <v>35</v>
      </c>
      <c r="I636">
        <v>78</v>
      </c>
      <c r="J636">
        <f t="shared" si="27"/>
        <v>8</v>
      </c>
      <c r="K636" t="s">
        <v>20</v>
      </c>
      <c r="L636">
        <f t="shared" si="28"/>
        <v>1</v>
      </c>
      <c r="M636">
        <v>8</v>
      </c>
      <c r="N636">
        <v>4</v>
      </c>
      <c r="O636">
        <f t="shared" si="29"/>
        <v>1</v>
      </c>
    </row>
    <row r="637" spans="1:15" x14ac:dyDescent="0.3">
      <c r="A637" t="s">
        <v>15</v>
      </c>
      <c r="B637" t="s">
        <v>175</v>
      </c>
      <c r="C637" t="s">
        <v>176</v>
      </c>
      <c r="D637">
        <v>1</v>
      </c>
      <c r="E637" t="s">
        <v>55</v>
      </c>
      <c r="F637" t="s">
        <v>56</v>
      </c>
      <c r="G637">
        <v>43</v>
      </c>
      <c r="H637">
        <v>37</v>
      </c>
      <c r="I637">
        <v>80</v>
      </c>
      <c r="J637">
        <f t="shared" si="27"/>
        <v>6</v>
      </c>
      <c r="K637" t="s">
        <v>20</v>
      </c>
      <c r="L637">
        <f t="shared" si="28"/>
        <v>1</v>
      </c>
      <c r="M637">
        <v>8</v>
      </c>
      <c r="N637">
        <v>3</v>
      </c>
      <c r="O637">
        <f t="shared" si="29"/>
        <v>1</v>
      </c>
    </row>
    <row r="638" spans="1:15" x14ac:dyDescent="0.3">
      <c r="A638" t="s">
        <v>15</v>
      </c>
      <c r="B638" t="s">
        <v>175</v>
      </c>
      <c r="C638" t="s">
        <v>176</v>
      </c>
      <c r="D638">
        <v>1</v>
      </c>
      <c r="E638" t="s">
        <v>57</v>
      </c>
      <c r="F638" t="s">
        <v>58</v>
      </c>
      <c r="G638">
        <v>33</v>
      </c>
      <c r="H638">
        <v>31</v>
      </c>
      <c r="I638">
        <v>64</v>
      </c>
      <c r="J638">
        <f t="shared" si="27"/>
        <v>2</v>
      </c>
      <c r="K638" t="s">
        <v>20</v>
      </c>
      <c r="L638">
        <f t="shared" si="28"/>
        <v>1</v>
      </c>
      <c r="M638">
        <v>7</v>
      </c>
      <c r="N638">
        <v>4</v>
      </c>
      <c r="O638">
        <f t="shared" si="29"/>
        <v>1</v>
      </c>
    </row>
    <row r="639" spans="1:15" x14ac:dyDescent="0.3">
      <c r="A639" t="s">
        <v>15</v>
      </c>
      <c r="B639" t="s">
        <v>179</v>
      </c>
      <c r="C639" t="s">
        <v>180</v>
      </c>
      <c r="D639">
        <v>2</v>
      </c>
      <c r="E639" t="s">
        <v>21</v>
      </c>
      <c r="F639" t="s">
        <v>22</v>
      </c>
      <c r="G639">
        <v>41</v>
      </c>
      <c r="H639">
        <v>15</v>
      </c>
      <c r="I639">
        <v>56</v>
      </c>
      <c r="J639">
        <f t="shared" si="27"/>
        <v>26</v>
      </c>
      <c r="K639" t="s">
        <v>87</v>
      </c>
      <c r="L639">
        <f t="shared" si="28"/>
        <v>0</v>
      </c>
      <c r="M639">
        <v>0</v>
      </c>
      <c r="N639">
        <v>4</v>
      </c>
      <c r="O639">
        <f t="shared" si="29"/>
        <v>1</v>
      </c>
    </row>
    <row r="640" spans="1:15" x14ac:dyDescent="0.3">
      <c r="A640" t="s">
        <v>15</v>
      </c>
      <c r="B640" t="s">
        <v>179</v>
      </c>
      <c r="C640" t="s">
        <v>180</v>
      </c>
      <c r="D640">
        <v>2</v>
      </c>
      <c r="E640" t="s">
        <v>33</v>
      </c>
      <c r="F640" t="s">
        <v>34</v>
      </c>
      <c r="G640">
        <v>29</v>
      </c>
      <c r="H640">
        <v>14</v>
      </c>
      <c r="I640">
        <v>43</v>
      </c>
      <c r="J640">
        <f t="shared" si="27"/>
        <v>15</v>
      </c>
      <c r="K640" t="s">
        <v>87</v>
      </c>
      <c r="L640">
        <f t="shared" si="28"/>
        <v>0</v>
      </c>
      <c r="M640">
        <v>0</v>
      </c>
      <c r="N640">
        <v>4</v>
      </c>
      <c r="O640">
        <f t="shared" si="29"/>
        <v>1</v>
      </c>
    </row>
    <row r="641" spans="1:15" x14ac:dyDescent="0.3">
      <c r="A641" t="s">
        <v>15</v>
      </c>
      <c r="B641" t="s">
        <v>179</v>
      </c>
      <c r="C641" t="s">
        <v>180</v>
      </c>
      <c r="D641">
        <v>2</v>
      </c>
      <c r="E641" t="s">
        <v>18</v>
      </c>
      <c r="F641" t="s">
        <v>19</v>
      </c>
      <c r="G641">
        <v>45</v>
      </c>
      <c r="H641">
        <v>32</v>
      </c>
      <c r="I641">
        <v>77</v>
      </c>
      <c r="J641">
        <f t="shared" si="27"/>
        <v>13</v>
      </c>
      <c r="K641" t="s">
        <v>20</v>
      </c>
      <c r="L641">
        <f t="shared" si="28"/>
        <v>1</v>
      </c>
      <c r="M641">
        <v>8</v>
      </c>
      <c r="N641">
        <v>4</v>
      </c>
      <c r="O641">
        <f t="shared" si="29"/>
        <v>1</v>
      </c>
    </row>
    <row r="642" spans="1:15" x14ac:dyDescent="0.3">
      <c r="A642" t="s">
        <v>15</v>
      </c>
      <c r="B642" t="s">
        <v>179</v>
      </c>
      <c r="C642" t="s">
        <v>180</v>
      </c>
      <c r="D642">
        <v>2</v>
      </c>
      <c r="E642" t="s">
        <v>41</v>
      </c>
      <c r="F642" t="s">
        <v>42</v>
      </c>
      <c r="G642">
        <v>11</v>
      </c>
      <c r="H642">
        <v>39</v>
      </c>
      <c r="I642">
        <v>50</v>
      </c>
      <c r="J642">
        <f t="shared" ref="J642:J705" si="30">IF(H642=0,0,G642-H642)</f>
        <v>-28</v>
      </c>
      <c r="K642" t="s">
        <v>20</v>
      </c>
      <c r="L642">
        <f t="shared" ref="L642:L705" si="31">IF(K642="Pass",1,0)</f>
        <v>1</v>
      </c>
      <c r="M642">
        <v>5</v>
      </c>
      <c r="N642">
        <v>3</v>
      </c>
      <c r="O642">
        <f t="shared" ref="O642:O705" si="32">IF(H642=0,0,1)</f>
        <v>1</v>
      </c>
    </row>
    <row r="643" spans="1:15" x14ac:dyDescent="0.3">
      <c r="A643" t="s">
        <v>15</v>
      </c>
      <c r="B643" t="s">
        <v>179</v>
      </c>
      <c r="C643" t="s">
        <v>180</v>
      </c>
      <c r="D643">
        <v>2</v>
      </c>
      <c r="E643" t="s">
        <v>23</v>
      </c>
      <c r="F643" t="s">
        <v>24</v>
      </c>
      <c r="G643">
        <v>51</v>
      </c>
      <c r="H643">
        <v>0</v>
      </c>
      <c r="I643">
        <v>51</v>
      </c>
      <c r="J643">
        <f t="shared" si="30"/>
        <v>0</v>
      </c>
      <c r="K643" t="s">
        <v>20</v>
      </c>
      <c r="L643">
        <f t="shared" si="31"/>
        <v>1</v>
      </c>
      <c r="M643">
        <v>5</v>
      </c>
      <c r="N643">
        <v>1</v>
      </c>
      <c r="O643">
        <f t="shared" si="32"/>
        <v>0</v>
      </c>
    </row>
    <row r="644" spans="1:15" x14ac:dyDescent="0.3">
      <c r="A644" t="s">
        <v>15</v>
      </c>
      <c r="B644" t="s">
        <v>179</v>
      </c>
      <c r="C644" t="s">
        <v>180</v>
      </c>
      <c r="D644">
        <v>2</v>
      </c>
      <c r="E644" t="s">
        <v>25</v>
      </c>
      <c r="F644" t="s">
        <v>26</v>
      </c>
      <c r="G644">
        <v>34</v>
      </c>
      <c r="H644">
        <v>29</v>
      </c>
      <c r="I644">
        <v>63</v>
      </c>
      <c r="J644">
        <f t="shared" si="30"/>
        <v>5</v>
      </c>
      <c r="K644" t="s">
        <v>20</v>
      </c>
      <c r="L644">
        <f t="shared" si="31"/>
        <v>1</v>
      </c>
      <c r="M644">
        <v>7</v>
      </c>
      <c r="N644">
        <v>1</v>
      </c>
      <c r="O644">
        <f t="shared" si="32"/>
        <v>1</v>
      </c>
    </row>
    <row r="645" spans="1:15" x14ac:dyDescent="0.3">
      <c r="A645" t="s">
        <v>15</v>
      </c>
      <c r="B645" t="s">
        <v>179</v>
      </c>
      <c r="C645" t="s">
        <v>180</v>
      </c>
      <c r="D645">
        <v>2</v>
      </c>
      <c r="E645" t="s">
        <v>61</v>
      </c>
      <c r="F645" t="s">
        <v>62</v>
      </c>
      <c r="G645">
        <v>36</v>
      </c>
      <c r="H645">
        <v>43</v>
      </c>
      <c r="I645">
        <v>79</v>
      </c>
      <c r="J645">
        <f t="shared" si="30"/>
        <v>-7</v>
      </c>
      <c r="K645" t="s">
        <v>20</v>
      </c>
      <c r="L645">
        <f t="shared" si="31"/>
        <v>1</v>
      </c>
      <c r="M645">
        <v>8</v>
      </c>
      <c r="N645">
        <v>2</v>
      </c>
      <c r="O645">
        <f t="shared" si="32"/>
        <v>1</v>
      </c>
    </row>
    <row r="646" spans="1:15" x14ac:dyDescent="0.3">
      <c r="A646" t="s">
        <v>15</v>
      </c>
      <c r="B646" t="s">
        <v>179</v>
      </c>
      <c r="C646" t="s">
        <v>180</v>
      </c>
      <c r="D646">
        <v>2</v>
      </c>
      <c r="E646" t="s">
        <v>117</v>
      </c>
      <c r="F646" t="s">
        <v>118</v>
      </c>
      <c r="G646">
        <v>88</v>
      </c>
      <c r="H646">
        <v>0</v>
      </c>
      <c r="I646">
        <v>88</v>
      </c>
      <c r="J646">
        <f t="shared" si="30"/>
        <v>0</v>
      </c>
      <c r="K646" t="s">
        <v>20</v>
      </c>
      <c r="L646">
        <f t="shared" si="31"/>
        <v>1</v>
      </c>
      <c r="M646">
        <v>9</v>
      </c>
      <c r="N646">
        <v>1</v>
      </c>
      <c r="O646">
        <f t="shared" si="32"/>
        <v>0</v>
      </c>
    </row>
    <row r="647" spans="1:15" x14ac:dyDescent="0.3">
      <c r="A647" t="s">
        <v>15</v>
      </c>
      <c r="B647" t="s">
        <v>179</v>
      </c>
      <c r="C647" t="s">
        <v>180</v>
      </c>
      <c r="D647">
        <v>2</v>
      </c>
      <c r="E647" t="s">
        <v>31</v>
      </c>
      <c r="F647" t="s">
        <v>32</v>
      </c>
      <c r="G647">
        <v>96</v>
      </c>
      <c r="H647">
        <v>0</v>
      </c>
      <c r="I647">
        <v>96</v>
      </c>
      <c r="J647">
        <f t="shared" si="30"/>
        <v>0</v>
      </c>
      <c r="K647" t="s">
        <v>20</v>
      </c>
      <c r="L647">
        <f t="shared" si="31"/>
        <v>1</v>
      </c>
      <c r="M647">
        <v>10</v>
      </c>
      <c r="N647">
        <v>1</v>
      </c>
      <c r="O647">
        <f t="shared" si="32"/>
        <v>0</v>
      </c>
    </row>
    <row r="648" spans="1:15" x14ac:dyDescent="0.3">
      <c r="A648" t="s">
        <v>15</v>
      </c>
      <c r="B648" t="s">
        <v>179</v>
      </c>
      <c r="C648" t="s">
        <v>180</v>
      </c>
      <c r="D648">
        <v>2</v>
      </c>
      <c r="E648" t="s">
        <v>35</v>
      </c>
      <c r="F648" t="s">
        <v>36</v>
      </c>
      <c r="G648">
        <v>24</v>
      </c>
      <c r="H648">
        <v>40</v>
      </c>
      <c r="I648">
        <v>64</v>
      </c>
      <c r="J648">
        <f t="shared" si="30"/>
        <v>-16</v>
      </c>
      <c r="K648" t="s">
        <v>20</v>
      </c>
      <c r="L648">
        <f t="shared" si="31"/>
        <v>1</v>
      </c>
      <c r="M648">
        <v>6</v>
      </c>
      <c r="N648">
        <v>3</v>
      </c>
      <c r="O648">
        <f t="shared" si="32"/>
        <v>1</v>
      </c>
    </row>
    <row r="649" spans="1:15" x14ac:dyDescent="0.3">
      <c r="A649" t="s">
        <v>15</v>
      </c>
      <c r="B649" t="s">
        <v>179</v>
      </c>
      <c r="C649" t="s">
        <v>180</v>
      </c>
      <c r="D649">
        <v>2</v>
      </c>
      <c r="E649" t="s">
        <v>37</v>
      </c>
      <c r="F649" t="s">
        <v>38</v>
      </c>
      <c r="G649">
        <v>31</v>
      </c>
      <c r="H649">
        <v>46</v>
      </c>
      <c r="I649">
        <v>77</v>
      </c>
      <c r="J649">
        <f t="shared" si="30"/>
        <v>-15</v>
      </c>
      <c r="K649" t="s">
        <v>20</v>
      </c>
      <c r="L649">
        <f t="shared" si="31"/>
        <v>1</v>
      </c>
      <c r="M649">
        <v>8</v>
      </c>
      <c r="N649">
        <v>3</v>
      </c>
      <c r="O649">
        <f t="shared" si="32"/>
        <v>1</v>
      </c>
    </row>
    <row r="650" spans="1:15" x14ac:dyDescent="0.3">
      <c r="A650" t="s">
        <v>15</v>
      </c>
      <c r="B650" t="s">
        <v>179</v>
      </c>
      <c r="C650" t="s">
        <v>180</v>
      </c>
      <c r="D650">
        <v>1</v>
      </c>
      <c r="E650" t="s">
        <v>39</v>
      </c>
      <c r="F650" t="s">
        <v>40</v>
      </c>
      <c r="G650">
        <v>90</v>
      </c>
      <c r="H650">
        <v>0</v>
      </c>
      <c r="I650">
        <v>90</v>
      </c>
      <c r="J650">
        <f t="shared" si="30"/>
        <v>0</v>
      </c>
      <c r="K650" t="s">
        <v>20</v>
      </c>
      <c r="L650">
        <f t="shared" si="31"/>
        <v>1</v>
      </c>
      <c r="M650">
        <v>9</v>
      </c>
      <c r="N650">
        <v>1</v>
      </c>
      <c r="O650">
        <f t="shared" si="32"/>
        <v>0</v>
      </c>
    </row>
    <row r="651" spans="1:15" x14ac:dyDescent="0.3">
      <c r="A651" t="s">
        <v>15</v>
      </c>
      <c r="B651" t="s">
        <v>179</v>
      </c>
      <c r="C651" t="s">
        <v>180</v>
      </c>
      <c r="D651">
        <v>1</v>
      </c>
      <c r="E651" t="s">
        <v>41</v>
      </c>
      <c r="F651" t="s">
        <v>42</v>
      </c>
      <c r="G651">
        <v>11</v>
      </c>
      <c r="H651">
        <v>0</v>
      </c>
      <c r="I651">
        <v>0</v>
      </c>
      <c r="J651">
        <f t="shared" si="30"/>
        <v>0</v>
      </c>
      <c r="K651" t="s">
        <v>100</v>
      </c>
      <c r="L651">
        <f t="shared" si="31"/>
        <v>0</v>
      </c>
      <c r="M651">
        <v>0</v>
      </c>
      <c r="N651">
        <v>3</v>
      </c>
      <c r="O651">
        <f t="shared" si="32"/>
        <v>0</v>
      </c>
    </row>
    <row r="652" spans="1:15" x14ac:dyDescent="0.3">
      <c r="A652" t="s">
        <v>15</v>
      </c>
      <c r="B652" t="s">
        <v>179</v>
      </c>
      <c r="C652" t="s">
        <v>180</v>
      </c>
      <c r="D652">
        <v>1</v>
      </c>
      <c r="E652" t="s">
        <v>43</v>
      </c>
      <c r="F652" t="s">
        <v>44</v>
      </c>
      <c r="G652">
        <v>64</v>
      </c>
      <c r="H652">
        <v>0</v>
      </c>
      <c r="I652">
        <v>64</v>
      </c>
      <c r="J652">
        <f t="shared" si="30"/>
        <v>0</v>
      </c>
      <c r="K652" t="s">
        <v>20</v>
      </c>
      <c r="L652">
        <f t="shared" si="31"/>
        <v>1</v>
      </c>
      <c r="M652">
        <v>7</v>
      </c>
      <c r="N652">
        <v>1</v>
      </c>
      <c r="O652">
        <f t="shared" si="32"/>
        <v>0</v>
      </c>
    </row>
    <row r="653" spans="1:15" x14ac:dyDescent="0.3">
      <c r="A653" t="s">
        <v>15</v>
      </c>
      <c r="B653" t="s">
        <v>179</v>
      </c>
      <c r="C653" t="s">
        <v>180</v>
      </c>
      <c r="D653">
        <v>1</v>
      </c>
      <c r="E653" t="s">
        <v>45</v>
      </c>
      <c r="F653" t="s">
        <v>46</v>
      </c>
      <c r="G653">
        <v>27</v>
      </c>
      <c r="H653">
        <v>42</v>
      </c>
      <c r="I653">
        <v>69</v>
      </c>
      <c r="J653">
        <f t="shared" si="30"/>
        <v>-15</v>
      </c>
      <c r="K653" t="s">
        <v>20</v>
      </c>
      <c r="L653">
        <f t="shared" si="31"/>
        <v>1</v>
      </c>
      <c r="M653">
        <v>7</v>
      </c>
      <c r="N653">
        <v>1</v>
      </c>
      <c r="O653">
        <f t="shared" si="32"/>
        <v>1</v>
      </c>
    </row>
    <row r="654" spans="1:15" x14ac:dyDescent="0.3">
      <c r="A654" t="s">
        <v>15</v>
      </c>
      <c r="B654" t="s">
        <v>179</v>
      </c>
      <c r="C654" t="s">
        <v>180</v>
      </c>
      <c r="D654">
        <v>1</v>
      </c>
      <c r="E654" t="s">
        <v>63</v>
      </c>
      <c r="F654" t="s">
        <v>64</v>
      </c>
      <c r="G654">
        <v>61</v>
      </c>
      <c r="H654">
        <v>0</v>
      </c>
      <c r="I654">
        <v>61</v>
      </c>
      <c r="J654">
        <f t="shared" si="30"/>
        <v>0</v>
      </c>
      <c r="K654" t="s">
        <v>20</v>
      </c>
      <c r="L654">
        <f t="shared" si="31"/>
        <v>1</v>
      </c>
      <c r="M654">
        <v>7</v>
      </c>
      <c r="N654">
        <v>1</v>
      </c>
      <c r="O654">
        <f t="shared" si="32"/>
        <v>0</v>
      </c>
    </row>
    <row r="655" spans="1:15" x14ac:dyDescent="0.3">
      <c r="A655" t="s">
        <v>15</v>
      </c>
      <c r="B655" t="s">
        <v>179</v>
      </c>
      <c r="C655" t="s">
        <v>180</v>
      </c>
      <c r="D655">
        <v>1</v>
      </c>
      <c r="E655" t="s">
        <v>49</v>
      </c>
      <c r="F655" t="s">
        <v>50</v>
      </c>
      <c r="G655">
        <v>95</v>
      </c>
      <c r="H655">
        <v>0</v>
      </c>
      <c r="I655">
        <v>95</v>
      </c>
      <c r="J655">
        <f t="shared" si="30"/>
        <v>0</v>
      </c>
      <c r="K655" t="s">
        <v>20</v>
      </c>
      <c r="L655">
        <f t="shared" si="31"/>
        <v>1</v>
      </c>
      <c r="M655">
        <v>10</v>
      </c>
      <c r="N655">
        <v>1</v>
      </c>
      <c r="O655">
        <f t="shared" si="32"/>
        <v>0</v>
      </c>
    </row>
    <row r="656" spans="1:15" x14ac:dyDescent="0.3">
      <c r="A656" t="s">
        <v>15</v>
      </c>
      <c r="B656" t="s">
        <v>179</v>
      </c>
      <c r="C656" t="s">
        <v>180</v>
      </c>
      <c r="D656">
        <v>1</v>
      </c>
      <c r="E656" t="s">
        <v>51</v>
      </c>
      <c r="F656" t="s">
        <v>52</v>
      </c>
      <c r="G656">
        <v>81</v>
      </c>
      <c r="H656">
        <v>0</v>
      </c>
      <c r="I656">
        <v>81</v>
      </c>
      <c r="J656">
        <f t="shared" si="30"/>
        <v>0</v>
      </c>
      <c r="K656" t="s">
        <v>20</v>
      </c>
      <c r="L656">
        <f t="shared" si="31"/>
        <v>1</v>
      </c>
      <c r="M656">
        <v>9</v>
      </c>
      <c r="N656">
        <v>1</v>
      </c>
      <c r="O656">
        <f t="shared" si="32"/>
        <v>0</v>
      </c>
    </row>
    <row r="657" spans="1:15" x14ac:dyDescent="0.3">
      <c r="A657" t="s">
        <v>15</v>
      </c>
      <c r="B657" t="s">
        <v>179</v>
      </c>
      <c r="C657" t="s">
        <v>180</v>
      </c>
      <c r="D657">
        <v>1</v>
      </c>
      <c r="E657" t="s">
        <v>53</v>
      </c>
      <c r="F657" t="s">
        <v>54</v>
      </c>
      <c r="G657">
        <v>35</v>
      </c>
      <c r="H657">
        <v>30</v>
      </c>
      <c r="I657">
        <v>65</v>
      </c>
      <c r="J657">
        <f t="shared" si="30"/>
        <v>5</v>
      </c>
      <c r="K657" t="s">
        <v>20</v>
      </c>
      <c r="L657">
        <f t="shared" si="31"/>
        <v>1</v>
      </c>
      <c r="M657">
        <v>7</v>
      </c>
      <c r="N657">
        <v>4</v>
      </c>
      <c r="O657">
        <f t="shared" si="32"/>
        <v>1</v>
      </c>
    </row>
    <row r="658" spans="1:15" x14ac:dyDescent="0.3">
      <c r="A658" t="s">
        <v>15</v>
      </c>
      <c r="B658" t="s">
        <v>179</v>
      </c>
      <c r="C658" t="s">
        <v>180</v>
      </c>
      <c r="D658">
        <v>1</v>
      </c>
      <c r="E658" t="s">
        <v>55</v>
      </c>
      <c r="F658" t="s">
        <v>56</v>
      </c>
      <c r="G658">
        <v>29</v>
      </c>
      <c r="H658">
        <v>41</v>
      </c>
      <c r="I658">
        <v>70</v>
      </c>
      <c r="J658">
        <f t="shared" si="30"/>
        <v>-12</v>
      </c>
      <c r="K658" t="s">
        <v>20</v>
      </c>
      <c r="L658">
        <f t="shared" si="31"/>
        <v>1</v>
      </c>
      <c r="M658">
        <v>7</v>
      </c>
      <c r="N658">
        <v>3</v>
      </c>
      <c r="O658">
        <f t="shared" si="32"/>
        <v>1</v>
      </c>
    </row>
    <row r="659" spans="1:15" x14ac:dyDescent="0.3">
      <c r="A659" t="s">
        <v>15</v>
      </c>
      <c r="B659" t="s">
        <v>179</v>
      </c>
      <c r="C659" t="s">
        <v>180</v>
      </c>
      <c r="D659">
        <v>1</v>
      </c>
      <c r="E659" t="s">
        <v>57</v>
      </c>
      <c r="F659" t="s">
        <v>58</v>
      </c>
      <c r="G659">
        <v>31</v>
      </c>
      <c r="H659">
        <v>25</v>
      </c>
      <c r="I659">
        <v>56</v>
      </c>
      <c r="J659">
        <f t="shared" si="30"/>
        <v>6</v>
      </c>
      <c r="K659" t="s">
        <v>20</v>
      </c>
      <c r="L659">
        <f t="shared" si="31"/>
        <v>1</v>
      </c>
      <c r="M659">
        <v>6</v>
      </c>
      <c r="N659">
        <v>4</v>
      </c>
      <c r="O659">
        <f t="shared" si="32"/>
        <v>1</v>
      </c>
    </row>
    <row r="660" spans="1:15" x14ac:dyDescent="0.3">
      <c r="A660" t="s">
        <v>15</v>
      </c>
      <c r="B660" t="s">
        <v>181</v>
      </c>
      <c r="C660" t="s">
        <v>182</v>
      </c>
      <c r="D660">
        <v>2</v>
      </c>
      <c r="E660" t="s">
        <v>18</v>
      </c>
      <c r="F660" t="s">
        <v>19</v>
      </c>
      <c r="G660">
        <v>47</v>
      </c>
      <c r="H660">
        <v>41</v>
      </c>
      <c r="I660">
        <v>88</v>
      </c>
      <c r="J660">
        <f t="shared" si="30"/>
        <v>6</v>
      </c>
      <c r="K660" t="s">
        <v>20</v>
      </c>
      <c r="L660">
        <f t="shared" si="31"/>
        <v>1</v>
      </c>
      <c r="M660">
        <v>8</v>
      </c>
      <c r="N660">
        <v>4</v>
      </c>
      <c r="O660">
        <f t="shared" si="32"/>
        <v>1</v>
      </c>
    </row>
    <row r="661" spans="1:15" x14ac:dyDescent="0.3">
      <c r="A661" t="s">
        <v>15</v>
      </c>
      <c r="B661" t="s">
        <v>181</v>
      </c>
      <c r="C661" t="s">
        <v>182</v>
      </c>
      <c r="D661">
        <v>2</v>
      </c>
      <c r="E661" t="s">
        <v>21</v>
      </c>
      <c r="F661" t="s">
        <v>22</v>
      </c>
      <c r="G661">
        <v>43</v>
      </c>
      <c r="H661">
        <v>24</v>
      </c>
      <c r="I661">
        <v>67</v>
      </c>
      <c r="J661">
        <f t="shared" si="30"/>
        <v>19</v>
      </c>
      <c r="K661" t="s">
        <v>20</v>
      </c>
      <c r="L661">
        <f t="shared" si="31"/>
        <v>1</v>
      </c>
      <c r="M661">
        <v>7</v>
      </c>
      <c r="N661">
        <v>4</v>
      </c>
      <c r="O661">
        <f t="shared" si="32"/>
        <v>1</v>
      </c>
    </row>
    <row r="662" spans="1:15" x14ac:dyDescent="0.3">
      <c r="A662" t="s">
        <v>15</v>
      </c>
      <c r="B662" t="s">
        <v>181</v>
      </c>
      <c r="C662" t="s">
        <v>182</v>
      </c>
      <c r="D662">
        <v>2</v>
      </c>
      <c r="E662" t="s">
        <v>23</v>
      </c>
      <c r="F662" t="s">
        <v>24</v>
      </c>
      <c r="G662">
        <v>86</v>
      </c>
      <c r="H662">
        <v>0</v>
      </c>
      <c r="I662">
        <v>86</v>
      </c>
      <c r="J662">
        <f t="shared" si="30"/>
        <v>0</v>
      </c>
      <c r="K662" t="s">
        <v>20</v>
      </c>
      <c r="L662">
        <f t="shared" si="31"/>
        <v>1</v>
      </c>
      <c r="M662">
        <v>9</v>
      </c>
      <c r="N662">
        <v>1</v>
      </c>
      <c r="O662">
        <f t="shared" si="32"/>
        <v>0</v>
      </c>
    </row>
    <row r="663" spans="1:15" x14ac:dyDescent="0.3">
      <c r="A663" t="s">
        <v>15</v>
      </c>
      <c r="B663" t="s">
        <v>181</v>
      </c>
      <c r="C663" t="s">
        <v>182</v>
      </c>
      <c r="D663">
        <v>2</v>
      </c>
      <c r="E663" t="s">
        <v>25</v>
      </c>
      <c r="F663" t="s">
        <v>26</v>
      </c>
      <c r="G663">
        <v>47</v>
      </c>
      <c r="H663">
        <v>28</v>
      </c>
      <c r="I663">
        <v>75</v>
      </c>
      <c r="J663">
        <f t="shared" si="30"/>
        <v>19</v>
      </c>
      <c r="K663" t="s">
        <v>20</v>
      </c>
      <c r="L663">
        <f t="shared" si="31"/>
        <v>1</v>
      </c>
      <c r="M663">
        <v>8</v>
      </c>
      <c r="N663">
        <v>1</v>
      </c>
      <c r="O663">
        <f t="shared" si="32"/>
        <v>1</v>
      </c>
    </row>
    <row r="664" spans="1:15" x14ac:dyDescent="0.3">
      <c r="A664" t="s">
        <v>15</v>
      </c>
      <c r="B664" t="s">
        <v>181</v>
      </c>
      <c r="C664" t="s">
        <v>182</v>
      </c>
      <c r="D664">
        <v>2</v>
      </c>
      <c r="E664" t="s">
        <v>27</v>
      </c>
      <c r="F664" t="s">
        <v>28</v>
      </c>
      <c r="G664">
        <v>31</v>
      </c>
      <c r="H664">
        <v>42</v>
      </c>
      <c r="I664">
        <v>73</v>
      </c>
      <c r="J664">
        <f t="shared" si="30"/>
        <v>-11</v>
      </c>
      <c r="K664" t="s">
        <v>20</v>
      </c>
      <c r="L664">
        <f t="shared" si="31"/>
        <v>1</v>
      </c>
      <c r="M664">
        <v>7</v>
      </c>
      <c r="N664">
        <v>2</v>
      </c>
      <c r="O664">
        <f t="shared" si="32"/>
        <v>1</v>
      </c>
    </row>
    <row r="665" spans="1:15" x14ac:dyDescent="0.3">
      <c r="A665" t="s">
        <v>15</v>
      </c>
      <c r="B665" t="s">
        <v>181</v>
      </c>
      <c r="C665" t="s">
        <v>182</v>
      </c>
      <c r="D665">
        <v>2</v>
      </c>
      <c r="E665" t="s">
        <v>165</v>
      </c>
      <c r="F665" t="s">
        <v>166</v>
      </c>
      <c r="G665">
        <v>96</v>
      </c>
      <c r="H665">
        <v>0</v>
      </c>
      <c r="I665">
        <v>96</v>
      </c>
      <c r="J665">
        <f t="shared" si="30"/>
        <v>0</v>
      </c>
      <c r="K665" t="s">
        <v>20</v>
      </c>
      <c r="L665">
        <f t="shared" si="31"/>
        <v>1</v>
      </c>
      <c r="M665">
        <v>10</v>
      </c>
      <c r="N665">
        <v>1</v>
      </c>
      <c r="O665">
        <f t="shared" si="32"/>
        <v>0</v>
      </c>
    </row>
    <row r="666" spans="1:15" x14ac:dyDescent="0.3">
      <c r="A666" t="s">
        <v>15</v>
      </c>
      <c r="B666" t="s">
        <v>181</v>
      </c>
      <c r="C666" t="s">
        <v>182</v>
      </c>
      <c r="D666">
        <v>2</v>
      </c>
      <c r="E666" t="s">
        <v>31</v>
      </c>
      <c r="F666" t="s">
        <v>32</v>
      </c>
      <c r="G666">
        <v>96</v>
      </c>
      <c r="H666">
        <v>0</v>
      </c>
      <c r="I666">
        <v>96</v>
      </c>
      <c r="J666">
        <f t="shared" si="30"/>
        <v>0</v>
      </c>
      <c r="K666" t="s">
        <v>20</v>
      </c>
      <c r="L666">
        <f t="shared" si="31"/>
        <v>1</v>
      </c>
      <c r="M666">
        <v>10</v>
      </c>
      <c r="N666">
        <v>1</v>
      </c>
      <c r="O666">
        <f t="shared" si="32"/>
        <v>0</v>
      </c>
    </row>
    <row r="667" spans="1:15" x14ac:dyDescent="0.3">
      <c r="A667" t="s">
        <v>15</v>
      </c>
      <c r="B667" t="s">
        <v>181</v>
      </c>
      <c r="C667" t="s">
        <v>182</v>
      </c>
      <c r="D667">
        <v>2</v>
      </c>
      <c r="E667" t="s">
        <v>33</v>
      </c>
      <c r="F667" t="s">
        <v>34</v>
      </c>
      <c r="G667">
        <v>47</v>
      </c>
      <c r="H667">
        <v>31</v>
      </c>
      <c r="I667">
        <v>78</v>
      </c>
      <c r="J667">
        <f t="shared" si="30"/>
        <v>16</v>
      </c>
      <c r="K667" t="s">
        <v>20</v>
      </c>
      <c r="L667">
        <f t="shared" si="31"/>
        <v>1</v>
      </c>
      <c r="M667">
        <v>8</v>
      </c>
      <c r="N667">
        <v>4</v>
      </c>
      <c r="O667">
        <f t="shared" si="32"/>
        <v>1</v>
      </c>
    </row>
    <row r="668" spans="1:15" x14ac:dyDescent="0.3">
      <c r="A668" t="s">
        <v>15</v>
      </c>
      <c r="B668" t="s">
        <v>181</v>
      </c>
      <c r="C668" t="s">
        <v>182</v>
      </c>
      <c r="D668">
        <v>2</v>
      </c>
      <c r="E668" t="s">
        <v>35</v>
      </c>
      <c r="F668" t="s">
        <v>36</v>
      </c>
      <c r="G668">
        <v>33</v>
      </c>
      <c r="H668">
        <v>46</v>
      </c>
      <c r="I668">
        <v>79</v>
      </c>
      <c r="J668">
        <f t="shared" si="30"/>
        <v>-13</v>
      </c>
      <c r="K668" t="s">
        <v>20</v>
      </c>
      <c r="L668">
        <f t="shared" si="31"/>
        <v>1</v>
      </c>
      <c r="M668">
        <v>8</v>
      </c>
      <c r="N668">
        <v>3</v>
      </c>
      <c r="O668">
        <f t="shared" si="32"/>
        <v>1</v>
      </c>
    </row>
    <row r="669" spans="1:15" x14ac:dyDescent="0.3">
      <c r="A669" t="s">
        <v>15</v>
      </c>
      <c r="B669" t="s">
        <v>181</v>
      </c>
      <c r="C669" t="s">
        <v>182</v>
      </c>
      <c r="D669">
        <v>2</v>
      </c>
      <c r="E669" t="s">
        <v>37</v>
      </c>
      <c r="F669" t="s">
        <v>38</v>
      </c>
      <c r="G669">
        <v>35</v>
      </c>
      <c r="H669">
        <v>46</v>
      </c>
      <c r="I669">
        <v>81</v>
      </c>
      <c r="J669">
        <f t="shared" si="30"/>
        <v>-11</v>
      </c>
      <c r="K669" t="s">
        <v>20</v>
      </c>
      <c r="L669">
        <f t="shared" si="31"/>
        <v>1</v>
      </c>
      <c r="M669">
        <v>8</v>
      </c>
      <c r="N669">
        <v>3</v>
      </c>
      <c r="O669">
        <f t="shared" si="32"/>
        <v>1</v>
      </c>
    </row>
    <row r="670" spans="1:15" x14ac:dyDescent="0.3">
      <c r="A670" t="s">
        <v>15</v>
      </c>
      <c r="B670" t="s">
        <v>181</v>
      </c>
      <c r="C670" t="s">
        <v>182</v>
      </c>
      <c r="D670">
        <v>1</v>
      </c>
      <c r="E670" t="s">
        <v>39</v>
      </c>
      <c r="F670" t="s">
        <v>40</v>
      </c>
      <c r="G670">
        <v>95</v>
      </c>
      <c r="H670">
        <v>0</v>
      </c>
      <c r="I670">
        <v>95</v>
      </c>
      <c r="J670">
        <f t="shared" si="30"/>
        <v>0</v>
      </c>
      <c r="K670" t="s">
        <v>20</v>
      </c>
      <c r="L670">
        <f t="shared" si="31"/>
        <v>1</v>
      </c>
      <c r="M670">
        <v>10</v>
      </c>
      <c r="N670">
        <v>1</v>
      </c>
      <c r="O670">
        <f t="shared" si="32"/>
        <v>0</v>
      </c>
    </row>
    <row r="671" spans="1:15" x14ac:dyDescent="0.3">
      <c r="A671" t="s">
        <v>15</v>
      </c>
      <c r="B671" t="s">
        <v>181</v>
      </c>
      <c r="C671" t="s">
        <v>182</v>
      </c>
      <c r="D671">
        <v>1</v>
      </c>
      <c r="E671" t="s">
        <v>41</v>
      </c>
      <c r="F671" t="s">
        <v>42</v>
      </c>
      <c r="G671">
        <v>28</v>
      </c>
      <c r="H671">
        <v>33</v>
      </c>
      <c r="I671">
        <v>61</v>
      </c>
      <c r="J671">
        <f t="shared" si="30"/>
        <v>-5</v>
      </c>
      <c r="K671" t="s">
        <v>20</v>
      </c>
      <c r="L671">
        <f t="shared" si="31"/>
        <v>1</v>
      </c>
      <c r="M671">
        <v>8</v>
      </c>
      <c r="N671">
        <v>3</v>
      </c>
      <c r="O671">
        <f t="shared" si="32"/>
        <v>1</v>
      </c>
    </row>
    <row r="672" spans="1:15" x14ac:dyDescent="0.3">
      <c r="A672" t="s">
        <v>15</v>
      </c>
      <c r="B672" t="s">
        <v>181</v>
      </c>
      <c r="C672" t="s">
        <v>182</v>
      </c>
      <c r="D672">
        <v>1</v>
      </c>
      <c r="E672" t="s">
        <v>43</v>
      </c>
      <c r="F672" t="s">
        <v>44</v>
      </c>
      <c r="G672">
        <v>70</v>
      </c>
      <c r="H672">
        <v>0</v>
      </c>
      <c r="I672">
        <v>70</v>
      </c>
      <c r="J672">
        <f t="shared" si="30"/>
        <v>0</v>
      </c>
      <c r="K672" t="s">
        <v>20</v>
      </c>
      <c r="L672">
        <f t="shared" si="31"/>
        <v>1</v>
      </c>
      <c r="M672">
        <v>7</v>
      </c>
      <c r="N672">
        <v>1</v>
      </c>
      <c r="O672">
        <f t="shared" si="32"/>
        <v>0</v>
      </c>
    </row>
    <row r="673" spans="1:15" x14ac:dyDescent="0.3">
      <c r="A673" t="s">
        <v>15</v>
      </c>
      <c r="B673" t="s">
        <v>181</v>
      </c>
      <c r="C673" t="s">
        <v>182</v>
      </c>
      <c r="D673">
        <v>1</v>
      </c>
      <c r="E673" t="s">
        <v>45</v>
      </c>
      <c r="F673" t="s">
        <v>46</v>
      </c>
      <c r="G673">
        <v>30</v>
      </c>
      <c r="H673">
        <v>44</v>
      </c>
      <c r="I673">
        <v>74</v>
      </c>
      <c r="J673">
        <f t="shared" si="30"/>
        <v>-14</v>
      </c>
      <c r="K673" t="s">
        <v>20</v>
      </c>
      <c r="L673">
        <f t="shared" si="31"/>
        <v>1</v>
      </c>
      <c r="M673">
        <v>8</v>
      </c>
      <c r="N673">
        <v>1</v>
      </c>
      <c r="O673">
        <f t="shared" si="32"/>
        <v>1</v>
      </c>
    </row>
    <row r="674" spans="1:15" x14ac:dyDescent="0.3">
      <c r="A674" t="s">
        <v>15</v>
      </c>
      <c r="B674" t="s">
        <v>181</v>
      </c>
      <c r="C674" t="s">
        <v>182</v>
      </c>
      <c r="D674">
        <v>1</v>
      </c>
      <c r="E674" t="s">
        <v>145</v>
      </c>
      <c r="F674" t="s">
        <v>146</v>
      </c>
      <c r="G674">
        <v>85</v>
      </c>
      <c r="H674">
        <v>0</v>
      </c>
      <c r="I674">
        <v>85</v>
      </c>
      <c r="J674">
        <f t="shared" si="30"/>
        <v>0</v>
      </c>
      <c r="K674" t="s">
        <v>20</v>
      </c>
      <c r="L674">
        <f t="shared" si="31"/>
        <v>1</v>
      </c>
      <c r="M674">
        <v>9</v>
      </c>
      <c r="N674">
        <v>1</v>
      </c>
      <c r="O674">
        <f t="shared" si="32"/>
        <v>0</v>
      </c>
    </row>
    <row r="675" spans="1:15" x14ac:dyDescent="0.3">
      <c r="A675" t="s">
        <v>15</v>
      </c>
      <c r="B675" t="s">
        <v>181</v>
      </c>
      <c r="C675" t="s">
        <v>182</v>
      </c>
      <c r="D675">
        <v>1</v>
      </c>
      <c r="E675" t="s">
        <v>49</v>
      </c>
      <c r="F675" t="s">
        <v>50</v>
      </c>
      <c r="G675">
        <v>90</v>
      </c>
      <c r="H675">
        <v>0</v>
      </c>
      <c r="I675">
        <v>90</v>
      </c>
      <c r="J675">
        <f t="shared" si="30"/>
        <v>0</v>
      </c>
      <c r="K675" t="s">
        <v>20</v>
      </c>
      <c r="L675">
        <f t="shared" si="31"/>
        <v>1</v>
      </c>
      <c r="M675">
        <v>9</v>
      </c>
      <c r="N675">
        <v>1</v>
      </c>
      <c r="O675">
        <f t="shared" si="32"/>
        <v>0</v>
      </c>
    </row>
    <row r="676" spans="1:15" x14ac:dyDescent="0.3">
      <c r="A676" t="s">
        <v>15</v>
      </c>
      <c r="B676" t="s">
        <v>181</v>
      </c>
      <c r="C676" t="s">
        <v>182</v>
      </c>
      <c r="D676">
        <v>1</v>
      </c>
      <c r="E676" t="s">
        <v>51</v>
      </c>
      <c r="F676" t="s">
        <v>52</v>
      </c>
      <c r="G676">
        <v>94</v>
      </c>
      <c r="H676">
        <v>0</v>
      </c>
      <c r="I676">
        <v>94</v>
      </c>
      <c r="J676">
        <f t="shared" si="30"/>
        <v>0</v>
      </c>
      <c r="K676" t="s">
        <v>20</v>
      </c>
      <c r="L676">
        <f t="shared" si="31"/>
        <v>1</v>
      </c>
      <c r="M676">
        <v>10</v>
      </c>
      <c r="N676">
        <v>1</v>
      </c>
      <c r="O676">
        <f t="shared" si="32"/>
        <v>0</v>
      </c>
    </row>
    <row r="677" spans="1:15" x14ac:dyDescent="0.3">
      <c r="A677" t="s">
        <v>15</v>
      </c>
      <c r="B677" t="s">
        <v>181</v>
      </c>
      <c r="C677" t="s">
        <v>182</v>
      </c>
      <c r="D677">
        <v>1</v>
      </c>
      <c r="E677" t="s">
        <v>53</v>
      </c>
      <c r="F677" t="s">
        <v>54</v>
      </c>
      <c r="G677">
        <v>46</v>
      </c>
      <c r="H677">
        <v>39</v>
      </c>
      <c r="I677">
        <v>85</v>
      </c>
      <c r="J677">
        <f t="shared" si="30"/>
        <v>7</v>
      </c>
      <c r="K677" t="s">
        <v>20</v>
      </c>
      <c r="L677">
        <f t="shared" si="31"/>
        <v>1</v>
      </c>
      <c r="M677">
        <v>8</v>
      </c>
      <c r="N677">
        <v>4</v>
      </c>
      <c r="O677">
        <f t="shared" si="32"/>
        <v>1</v>
      </c>
    </row>
    <row r="678" spans="1:15" x14ac:dyDescent="0.3">
      <c r="A678" t="s">
        <v>15</v>
      </c>
      <c r="B678" t="s">
        <v>181</v>
      </c>
      <c r="C678" t="s">
        <v>182</v>
      </c>
      <c r="D678">
        <v>1</v>
      </c>
      <c r="E678" t="s">
        <v>55</v>
      </c>
      <c r="F678" t="s">
        <v>56</v>
      </c>
      <c r="G678">
        <v>41</v>
      </c>
      <c r="H678">
        <v>40</v>
      </c>
      <c r="I678">
        <v>81</v>
      </c>
      <c r="J678">
        <f t="shared" si="30"/>
        <v>1</v>
      </c>
      <c r="K678" t="s">
        <v>20</v>
      </c>
      <c r="L678">
        <f t="shared" si="31"/>
        <v>1</v>
      </c>
      <c r="M678">
        <v>8</v>
      </c>
      <c r="N678">
        <v>3</v>
      </c>
      <c r="O678">
        <f t="shared" si="32"/>
        <v>1</v>
      </c>
    </row>
    <row r="679" spans="1:15" x14ac:dyDescent="0.3">
      <c r="A679" t="s">
        <v>15</v>
      </c>
      <c r="B679" t="s">
        <v>181</v>
      </c>
      <c r="C679" t="s">
        <v>182</v>
      </c>
      <c r="D679">
        <v>1</v>
      </c>
      <c r="E679" t="s">
        <v>57</v>
      </c>
      <c r="F679" t="s">
        <v>58</v>
      </c>
      <c r="G679">
        <v>40</v>
      </c>
      <c r="H679">
        <v>35</v>
      </c>
      <c r="I679">
        <v>75</v>
      </c>
      <c r="J679">
        <f t="shared" si="30"/>
        <v>5</v>
      </c>
      <c r="K679" t="s">
        <v>20</v>
      </c>
      <c r="L679">
        <f t="shared" si="31"/>
        <v>1</v>
      </c>
      <c r="M679">
        <v>8</v>
      </c>
      <c r="N679">
        <v>4</v>
      </c>
      <c r="O679">
        <f t="shared" si="32"/>
        <v>1</v>
      </c>
    </row>
    <row r="680" spans="1:15" x14ac:dyDescent="0.3">
      <c r="A680" t="s">
        <v>15</v>
      </c>
      <c r="B680" t="s">
        <v>183</v>
      </c>
      <c r="C680" t="s">
        <v>184</v>
      </c>
      <c r="D680">
        <v>2</v>
      </c>
      <c r="E680" t="s">
        <v>18</v>
      </c>
      <c r="F680" t="s">
        <v>19</v>
      </c>
      <c r="G680">
        <v>45</v>
      </c>
      <c r="H680">
        <v>39</v>
      </c>
      <c r="I680">
        <v>84</v>
      </c>
      <c r="J680">
        <f t="shared" si="30"/>
        <v>6</v>
      </c>
      <c r="K680" t="s">
        <v>20</v>
      </c>
      <c r="L680">
        <f t="shared" si="31"/>
        <v>1</v>
      </c>
      <c r="M680">
        <v>8</v>
      </c>
      <c r="N680">
        <v>4</v>
      </c>
      <c r="O680">
        <f t="shared" si="32"/>
        <v>1</v>
      </c>
    </row>
    <row r="681" spans="1:15" x14ac:dyDescent="0.3">
      <c r="A681" t="s">
        <v>15</v>
      </c>
      <c r="B681" t="s">
        <v>183</v>
      </c>
      <c r="C681" t="s">
        <v>184</v>
      </c>
      <c r="D681">
        <v>2</v>
      </c>
      <c r="E681" t="s">
        <v>21</v>
      </c>
      <c r="F681" t="s">
        <v>22</v>
      </c>
      <c r="G681">
        <v>42</v>
      </c>
      <c r="H681">
        <v>34</v>
      </c>
      <c r="I681">
        <v>76</v>
      </c>
      <c r="J681">
        <f t="shared" si="30"/>
        <v>8</v>
      </c>
      <c r="K681" t="s">
        <v>20</v>
      </c>
      <c r="L681">
        <f t="shared" si="31"/>
        <v>1</v>
      </c>
      <c r="M681">
        <v>8</v>
      </c>
      <c r="N681">
        <v>4</v>
      </c>
      <c r="O681">
        <f t="shared" si="32"/>
        <v>1</v>
      </c>
    </row>
    <row r="682" spans="1:15" x14ac:dyDescent="0.3">
      <c r="A682" t="s">
        <v>15</v>
      </c>
      <c r="B682" t="s">
        <v>183</v>
      </c>
      <c r="C682" t="s">
        <v>184</v>
      </c>
      <c r="D682">
        <v>2</v>
      </c>
      <c r="E682" t="s">
        <v>25</v>
      </c>
      <c r="F682" t="s">
        <v>26</v>
      </c>
      <c r="G682">
        <v>40</v>
      </c>
      <c r="H682">
        <v>32</v>
      </c>
      <c r="I682">
        <v>72</v>
      </c>
      <c r="J682">
        <f t="shared" si="30"/>
        <v>8</v>
      </c>
      <c r="K682" t="s">
        <v>20</v>
      </c>
      <c r="L682">
        <f t="shared" si="31"/>
        <v>1</v>
      </c>
      <c r="M682">
        <v>7</v>
      </c>
      <c r="N682">
        <v>1</v>
      </c>
      <c r="O682">
        <f t="shared" si="32"/>
        <v>1</v>
      </c>
    </row>
    <row r="683" spans="1:15" x14ac:dyDescent="0.3">
      <c r="A683" t="s">
        <v>15</v>
      </c>
      <c r="B683" t="s">
        <v>183</v>
      </c>
      <c r="C683" t="s">
        <v>184</v>
      </c>
      <c r="D683">
        <v>2</v>
      </c>
      <c r="E683" t="s">
        <v>61</v>
      </c>
      <c r="F683" t="s">
        <v>62</v>
      </c>
      <c r="G683">
        <v>35</v>
      </c>
      <c r="H683">
        <v>40</v>
      </c>
      <c r="I683">
        <v>75</v>
      </c>
      <c r="J683">
        <f t="shared" si="30"/>
        <v>-5</v>
      </c>
      <c r="K683" t="s">
        <v>20</v>
      </c>
      <c r="L683">
        <f t="shared" si="31"/>
        <v>1</v>
      </c>
      <c r="M683">
        <v>8</v>
      </c>
      <c r="N683">
        <v>2</v>
      </c>
      <c r="O683">
        <f t="shared" si="32"/>
        <v>1</v>
      </c>
    </row>
    <row r="684" spans="1:15" x14ac:dyDescent="0.3">
      <c r="A684" t="s">
        <v>15</v>
      </c>
      <c r="B684" t="s">
        <v>183</v>
      </c>
      <c r="C684" t="s">
        <v>184</v>
      </c>
      <c r="D684">
        <v>2</v>
      </c>
      <c r="E684" t="s">
        <v>81</v>
      </c>
      <c r="F684" t="s">
        <v>82</v>
      </c>
      <c r="G684">
        <v>53</v>
      </c>
      <c r="H684">
        <v>38</v>
      </c>
      <c r="I684">
        <v>91</v>
      </c>
      <c r="J684">
        <f t="shared" si="30"/>
        <v>15</v>
      </c>
      <c r="K684" t="s">
        <v>20</v>
      </c>
      <c r="L684">
        <f t="shared" si="31"/>
        <v>1</v>
      </c>
      <c r="M684">
        <v>10</v>
      </c>
      <c r="N684">
        <v>3</v>
      </c>
      <c r="O684">
        <f t="shared" si="32"/>
        <v>1</v>
      </c>
    </row>
    <row r="685" spans="1:15" x14ac:dyDescent="0.3">
      <c r="A685" t="s">
        <v>15</v>
      </c>
      <c r="B685" t="s">
        <v>183</v>
      </c>
      <c r="C685" t="s">
        <v>184</v>
      </c>
      <c r="D685">
        <v>2</v>
      </c>
      <c r="E685" t="s">
        <v>33</v>
      </c>
      <c r="F685" t="s">
        <v>34</v>
      </c>
      <c r="G685">
        <v>43</v>
      </c>
      <c r="H685">
        <v>33</v>
      </c>
      <c r="I685">
        <v>76</v>
      </c>
      <c r="J685">
        <f t="shared" si="30"/>
        <v>10</v>
      </c>
      <c r="K685" t="s">
        <v>20</v>
      </c>
      <c r="L685">
        <f t="shared" si="31"/>
        <v>1</v>
      </c>
      <c r="M685">
        <v>8</v>
      </c>
      <c r="N685">
        <v>4</v>
      </c>
      <c r="O685">
        <f t="shared" si="32"/>
        <v>1</v>
      </c>
    </row>
    <row r="686" spans="1:15" x14ac:dyDescent="0.3">
      <c r="A686" t="s">
        <v>15</v>
      </c>
      <c r="B686" t="s">
        <v>183</v>
      </c>
      <c r="C686" t="s">
        <v>184</v>
      </c>
      <c r="D686">
        <v>2</v>
      </c>
      <c r="E686" t="s">
        <v>35</v>
      </c>
      <c r="F686" t="s">
        <v>36</v>
      </c>
      <c r="G686">
        <v>25</v>
      </c>
      <c r="H686">
        <v>38</v>
      </c>
      <c r="I686">
        <v>63</v>
      </c>
      <c r="J686">
        <f t="shared" si="30"/>
        <v>-13</v>
      </c>
      <c r="K686" t="s">
        <v>20</v>
      </c>
      <c r="L686">
        <f t="shared" si="31"/>
        <v>1</v>
      </c>
      <c r="M686">
        <v>6</v>
      </c>
      <c r="N686">
        <v>3</v>
      </c>
      <c r="O686">
        <f t="shared" si="32"/>
        <v>1</v>
      </c>
    </row>
    <row r="687" spans="1:15" x14ac:dyDescent="0.3">
      <c r="A687" t="s">
        <v>15</v>
      </c>
      <c r="B687" t="s">
        <v>183</v>
      </c>
      <c r="C687" t="s">
        <v>184</v>
      </c>
      <c r="D687">
        <v>2</v>
      </c>
      <c r="E687" t="s">
        <v>37</v>
      </c>
      <c r="F687" t="s">
        <v>38</v>
      </c>
      <c r="G687">
        <v>30</v>
      </c>
      <c r="H687">
        <v>43</v>
      </c>
      <c r="I687">
        <v>73</v>
      </c>
      <c r="J687">
        <f t="shared" si="30"/>
        <v>-13</v>
      </c>
      <c r="K687" t="s">
        <v>20</v>
      </c>
      <c r="L687">
        <f t="shared" si="31"/>
        <v>1</v>
      </c>
      <c r="M687">
        <v>8</v>
      </c>
      <c r="N687">
        <v>3</v>
      </c>
      <c r="O687">
        <f t="shared" si="32"/>
        <v>1</v>
      </c>
    </row>
    <row r="688" spans="1:15" x14ac:dyDescent="0.3">
      <c r="A688" t="s">
        <v>15</v>
      </c>
      <c r="B688" t="s">
        <v>183</v>
      </c>
      <c r="C688" t="s">
        <v>184</v>
      </c>
      <c r="D688">
        <v>1</v>
      </c>
      <c r="E688" t="s">
        <v>39</v>
      </c>
      <c r="F688" t="s">
        <v>40</v>
      </c>
      <c r="G688">
        <v>79</v>
      </c>
      <c r="H688">
        <v>0</v>
      </c>
      <c r="I688">
        <v>79</v>
      </c>
      <c r="J688">
        <f t="shared" si="30"/>
        <v>0</v>
      </c>
      <c r="K688" t="s">
        <v>20</v>
      </c>
      <c r="L688">
        <f t="shared" si="31"/>
        <v>1</v>
      </c>
      <c r="M688">
        <v>8</v>
      </c>
      <c r="N688">
        <v>1</v>
      </c>
      <c r="O688">
        <f t="shared" si="32"/>
        <v>0</v>
      </c>
    </row>
    <row r="689" spans="1:15" x14ac:dyDescent="0.3">
      <c r="A689" t="s">
        <v>15</v>
      </c>
      <c r="B689" t="s">
        <v>183</v>
      </c>
      <c r="C689" t="s">
        <v>184</v>
      </c>
      <c r="D689">
        <v>1</v>
      </c>
      <c r="E689" t="s">
        <v>41</v>
      </c>
      <c r="F689" t="s">
        <v>42</v>
      </c>
      <c r="G689">
        <v>25</v>
      </c>
      <c r="H689">
        <v>37</v>
      </c>
      <c r="I689">
        <v>62</v>
      </c>
      <c r="J689">
        <f t="shared" si="30"/>
        <v>-12</v>
      </c>
      <c r="K689" t="s">
        <v>20</v>
      </c>
      <c r="L689">
        <f t="shared" si="31"/>
        <v>1</v>
      </c>
      <c r="M689">
        <v>8</v>
      </c>
      <c r="N689">
        <v>3</v>
      </c>
      <c r="O689">
        <f t="shared" si="32"/>
        <v>1</v>
      </c>
    </row>
    <row r="690" spans="1:15" x14ac:dyDescent="0.3">
      <c r="A690" t="s">
        <v>15</v>
      </c>
      <c r="B690" t="s">
        <v>183</v>
      </c>
      <c r="C690" t="s">
        <v>184</v>
      </c>
      <c r="D690">
        <v>1</v>
      </c>
      <c r="E690" t="s">
        <v>43</v>
      </c>
      <c r="F690" t="s">
        <v>44</v>
      </c>
      <c r="G690">
        <v>83</v>
      </c>
      <c r="H690">
        <v>0</v>
      </c>
      <c r="I690">
        <v>83</v>
      </c>
      <c r="J690">
        <f t="shared" si="30"/>
        <v>0</v>
      </c>
      <c r="K690" t="s">
        <v>20</v>
      </c>
      <c r="L690">
        <f t="shared" si="31"/>
        <v>1</v>
      </c>
      <c r="M690">
        <v>9</v>
      </c>
      <c r="N690">
        <v>1</v>
      </c>
      <c r="O690">
        <f t="shared" si="32"/>
        <v>0</v>
      </c>
    </row>
    <row r="691" spans="1:15" x14ac:dyDescent="0.3">
      <c r="A691" t="s">
        <v>15</v>
      </c>
      <c r="B691" t="s">
        <v>183</v>
      </c>
      <c r="C691" t="s">
        <v>184</v>
      </c>
      <c r="D691">
        <v>1</v>
      </c>
      <c r="E691" t="s">
        <v>45</v>
      </c>
      <c r="F691" t="s">
        <v>46</v>
      </c>
      <c r="G691">
        <v>33</v>
      </c>
      <c r="H691">
        <v>41</v>
      </c>
      <c r="I691">
        <v>74</v>
      </c>
      <c r="J691">
        <f t="shared" si="30"/>
        <v>-8</v>
      </c>
      <c r="K691" t="s">
        <v>20</v>
      </c>
      <c r="L691">
        <f t="shared" si="31"/>
        <v>1</v>
      </c>
      <c r="M691">
        <v>8</v>
      </c>
      <c r="N691">
        <v>1</v>
      </c>
      <c r="O691">
        <f t="shared" si="32"/>
        <v>1</v>
      </c>
    </row>
    <row r="692" spans="1:15" x14ac:dyDescent="0.3">
      <c r="A692" t="s">
        <v>15</v>
      </c>
      <c r="B692" t="s">
        <v>183</v>
      </c>
      <c r="C692" t="s">
        <v>184</v>
      </c>
      <c r="D692">
        <v>1</v>
      </c>
      <c r="E692" t="s">
        <v>83</v>
      </c>
      <c r="F692" t="s">
        <v>84</v>
      </c>
      <c r="G692">
        <v>59</v>
      </c>
      <c r="H692">
        <v>39</v>
      </c>
      <c r="I692">
        <v>98</v>
      </c>
      <c r="J692">
        <f t="shared" si="30"/>
        <v>20</v>
      </c>
      <c r="K692" t="s">
        <v>20</v>
      </c>
      <c r="L692">
        <f t="shared" si="31"/>
        <v>1</v>
      </c>
      <c r="M692">
        <v>10</v>
      </c>
      <c r="N692">
        <v>3</v>
      </c>
      <c r="O692">
        <f t="shared" si="32"/>
        <v>1</v>
      </c>
    </row>
    <row r="693" spans="1:15" x14ac:dyDescent="0.3">
      <c r="A693" t="s">
        <v>15</v>
      </c>
      <c r="B693" t="s">
        <v>183</v>
      </c>
      <c r="C693" t="s">
        <v>184</v>
      </c>
      <c r="D693">
        <v>1</v>
      </c>
      <c r="E693" t="s">
        <v>53</v>
      </c>
      <c r="F693" t="s">
        <v>54</v>
      </c>
      <c r="G693">
        <v>46</v>
      </c>
      <c r="H693">
        <v>37</v>
      </c>
      <c r="I693">
        <v>83</v>
      </c>
      <c r="J693">
        <f t="shared" si="30"/>
        <v>9</v>
      </c>
      <c r="K693" t="s">
        <v>20</v>
      </c>
      <c r="L693">
        <f t="shared" si="31"/>
        <v>1</v>
      </c>
      <c r="M693">
        <v>8</v>
      </c>
      <c r="N693">
        <v>4</v>
      </c>
      <c r="O693">
        <f t="shared" si="32"/>
        <v>1</v>
      </c>
    </row>
    <row r="694" spans="1:15" x14ac:dyDescent="0.3">
      <c r="A694" t="s">
        <v>15</v>
      </c>
      <c r="B694" t="s">
        <v>183</v>
      </c>
      <c r="C694" t="s">
        <v>184</v>
      </c>
      <c r="D694">
        <v>1</v>
      </c>
      <c r="E694" t="s">
        <v>55</v>
      </c>
      <c r="F694" t="s">
        <v>56</v>
      </c>
      <c r="G694">
        <v>44</v>
      </c>
      <c r="H694">
        <v>43</v>
      </c>
      <c r="I694">
        <v>87</v>
      </c>
      <c r="J694">
        <f t="shared" si="30"/>
        <v>1</v>
      </c>
      <c r="K694" t="s">
        <v>20</v>
      </c>
      <c r="L694">
        <f t="shared" si="31"/>
        <v>1</v>
      </c>
      <c r="M694">
        <v>8</v>
      </c>
      <c r="N694">
        <v>3</v>
      </c>
      <c r="O694">
        <f t="shared" si="32"/>
        <v>1</v>
      </c>
    </row>
    <row r="695" spans="1:15" x14ac:dyDescent="0.3">
      <c r="A695" t="s">
        <v>15</v>
      </c>
      <c r="B695" t="s">
        <v>183</v>
      </c>
      <c r="C695" t="s">
        <v>184</v>
      </c>
      <c r="D695">
        <v>1</v>
      </c>
      <c r="E695" t="s">
        <v>57</v>
      </c>
      <c r="F695" t="s">
        <v>58</v>
      </c>
      <c r="G695">
        <v>44</v>
      </c>
      <c r="H695">
        <v>42</v>
      </c>
      <c r="I695">
        <v>86</v>
      </c>
      <c r="J695">
        <f t="shared" si="30"/>
        <v>2</v>
      </c>
      <c r="K695" t="s">
        <v>20</v>
      </c>
      <c r="L695">
        <f t="shared" si="31"/>
        <v>1</v>
      </c>
      <c r="M695">
        <v>10</v>
      </c>
      <c r="N695">
        <v>4</v>
      </c>
      <c r="O695">
        <f t="shared" si="32"/>
        <v>1</v>
      </c>
    </row>
    <row r="696" spans="1:15" x14ac:dyDescent="0.3">
      <c r="A696" t="s">
        <v>15</v>
      </c>
      <c r="B696" t="s">
        <v>185</v>
      </c>
      <c r="C696" t="s">
        <v>186</v>
      </c>
      <c r="D696">
        <v>2</v>
      </c>
      <c r="E696" t="s">
        <v>18</v>
      </c>
      <c r="F696" t="s">
        <v>19</v>
      </c>
      <c r="G696">
        <v>45</v>
      </c>
      <c r="H696">
        <v>40</v>
      </c>
      <c r="I696">
        <v>85</v>
      </c>
      <c r="J696">
        <f t="shared" si="30"/>
        <v>5</v>
      </c>
      <c r="K696" t="s">
        <v>20</v>
      </c>
      <c r="L696">
        <f t="shared" si="31"/>
        <v>1</v>
      </c>
      <c r="M696">
        <v>8</v>
      </c>
      <c r="N696">
        <v>4</v>
      </c>
      <c r="O696">
        <f t="shared" si="32"/>
        <v>1</v>
      </c>
    </row>
    <row r="697" spans="1:15" x14ac:dyDescent="0.3">
      <c r="A697" t="s">
        <v>15</v>
      </c>
      <c r="B697" t="s">
        <v>185</v>
      </c>
      <c r="C697" t="s">
        <v>186</v>
      </c>
      <c r="D697">
        <v>2</v>
      </c>
      <c r="E697" t="s">
        <v>21</v>
      </c>
      <c r="F697" t="s">
        <v>22</v>
      </c>
      <c r="G697">
        <v>44</v>
      </c>
      <c r="H697">
        <v>27</v>
      </c>
      <c r="I697">
        <v>71</v>
      </c>
      <c r="J697">
        <f t="shared" si="30"/>
        <v>17</v>
      </c>
      <c r="K697" t="s">
        <v>20</v>
      </c>
      <c r="L697">
        <f t="shared" si="31"/>
        <v>1</v>
      </c>
      <c r="M697">
        <v>7</v>
      </c>
      <c r="N697">
        <v>4</v>
      </c>
      <c r="O697">
        <f t="shared" si="32"/>
        <v>1</v>
      </c>
    </row>
    <row r="698" spans="1:15" x14ac:dyDescent="0.3">
      <c r="A698" t="s">
        <v>15</v>
      </c>
      <c r="B698" t="s">
        <v>185</v>
      </c>
      <c r="C698" t="s">
        <v>186</v>
      </c>
      <c r="D698">
        <v>2</v>
      </c>
      <c r="E698" t="s">
        <v>23</v>
      </c>
      <c r="F698" t="s">
        <v>24</v>
      </c>
      <c r="G698">
        <v>87</v>
      </c>
      <c r="H698">
        <v>0</v>
      </c>
      <c r="I698">
        <v>87</v>
      </c>
      <c r="J698">
        <f t="shared" si="30"/>
        <v>0</v>
      </c>
      <c r="K698" t="s">
        <v>20</v>
      </c>
      <c r="L698">
        <f t="shared" si="31"/>
        <v>1</v>
      </c>
      <c r="M698">
        <v>9</v>
      </c>
      <c r="N698">
        <v>1</v>
      </c>
      <c r="O698">
        <f t="shared" si="32"/>
        <v>0</v>
      </c>
    </row>
    <row r="699" spans="1:15" x14ac:dyDescent="0.3">
      <c r="A699" t="s">
        <v>15</v>
      </c>
      <c r="B699" t="s">
        <v>185</v>
      </c>
      <c r="C699" t="s">
        <v>186</v>
      </c>
      <c r="D699">
        <v>2</v>
      </c>
      <c r="E699" t="s">
        <v>25</v>
      </c>
      <c r="F699" t="s">
        <v>26</v>
      </c>
      <c r="G699">
        <v>39</v>
      </c>
      <c r="H699">
        <v>33</v>
      </c>
      <c r="I699">
        <v>72</v>
      </c>
      <c r="J699">
        <f t="shared" si="30"/>
        <v>6</v>
      </c>
      <c r="K699" t="s">
        <v>20</v>
      </c>
      <c r="L699">
        <f t="shared" si="31"/>
        <v>1</v>
      </c>
      <c r="M699">
        <v>7</v>
      </c>
      <c r="N699">
        <v>1</v>
      </c>
      <c r="O699">
        <f t="shared" si="32"/>
        <v>1</v>
      </c>
    </row>
    <row r="700" spans="1:15" x14ac:dyDescent="0.3">
      <c r="A700" t="s">
        <v>15</v>
      </c>
      <c r="B700" t="s">
        <v>185</v>
      </c>
      <c r="C700" t="s">
        <v>186</v>
      </c>
      <c r="D700">
        <v>2</v>
      </c>
      <c r="E700" t="s">
        <v>61</v>
      </c>
      <c r="F700" t="s">
        <v>62</v>
      </c>
      <c r="G700">
        <v>34</v>
      </c>
      <c r="H700">
        <v>43</v>
      </c>
      <c r="I700">
        <v>77</v>
      </c>
      <c r="J700">
        <f t="shared" si="30"/>
        <v>-9</v>
      </c>
      <c r="K700" t="s">
        <v>20</v>
      </c>
      <c r="L700">
        <f t="shared" si="31"/>
        <v>1</v>
      </c>
      <c r="M700">
        <v>8</v>
      </c>
      <c r="N700">
        <v>2</v>
      </c>
      <c r="O700">
        <f t="shared" si="32"/>
        <v>1</v>
      </c>
    </row>
    <row r="701" spans="1:15" x14ac:dyDescent="0.3">
      <c r="A701" t="s">
        <v>15</v>
      </c>
      <c r="B701" t="s">
        <v>185</v>
      </c>
      <c r="C701" t="s">
        <v>186</v>
      </c>
      <c r="D701">
        <v>2</v>
      </c>
      <c r="E701" t="s">
        <v>187</v>
      </c>
      <c r="F701" t="s">
        <v>188</v>
      </c>
      <c r="G701">
        <v>76</v>
      </c>
      <c r="H701">
        <v>0</v>
      </c>
      <c r="I701">
        <v>76</v>
      </c>
      <c r="J701">
        <f t="shared" si="30"/>
        <v>0</v>
      </c>
      <c r="K701" t="s">
        <v>20</v>
      </c>
      <c r="L701">
        <f t="shared" si="31"/>
        <v>1</v>
      </c>
      <c r="M701">
        <v>8</v>
      </c>
      <c r="N701">
        <v>1</v>
      </c>
      <c r="O701">
        <f t="shared" si="32"/>
        <v>0</v>
      </c>
    </row>
    <row r="702" spans="1:15" x14ac:dyDescent="0.3">
      <c r="A702" t="s">
        <v>15</v>
      </c>
      <c r="B702" t="s">
        <v>185</v>
      </c>
      <c r="C702" t="s">
        <v>186</v>
      </c>
      <c r="D702">
        <v>2</v>
      </c>
      <c r="E702" t="s">
        <v>31</v>
      </c>
      <c r="F702" t="s">
        <v>32</v>
      </c>
      <c r="G702">
        <v>96</v>
      </c>
      <c r="H702">
        <v>0</v>
      </c>
      <c r="I702">
        <v>96</v>
      </c>
      <c r="J702">
        <f t="shared" si="30"/>
        <v>0</v>
      </c>
      <c r="K702" t="s">
        <v>20</v>
      </c>
      <c r="L702">
        <f t="shared" si="31"/>
        <v>1</v>
      </c>
      <c r="M702">
        <v>10</v>
      </c>
      <c r="N702">
        <v>1</v>
      </c>
      <c r="O702">
        <f t="shared" si="32"/>
        <v>0</v>
      </c>
    </row>
    <row r="703" spans="1:15" x14ac:dyDescent="0.3">
      <c r="A703" t="s">
        <v>15</v>
      </c>
      <c r="B703" t="s">
        <v>185</v>
      </c>
      <c r="C703" t="s">
        <v>186</v>
      </c>
      <c r="D703">
        <v>2</v>
      </c>
      <c r="E703" t="s">
        <v>33</v>
      </c>
      <c r="F703" t="s">
        <v>34</v>
      </c>
      <c r="G703">
        <v>41</v>
      </c>
      <c r="H703">
        <v>28</v>
      </c>
      <c r="I703">
        <v>69</v>
      </c>
      <c r="J703">
        <f t="shared" si="30"/>
        <v>13</v>
      </c>
      <c r="K703" t="s">
        <v>20</v>
      </c>
      <c r="L703">
        <f t="shared" si="31"/>
        <v>1</v>
      </c>
      <c r="M703">
        <v>8</v>
      </c>
      <c r="N703">
        <v>4</v>
      </c>
      <c r="O703">
        <f t="shared" si="32"/>
        <v>1</v>
      </c>
    </row>
    <row r="704" spans="1:15" x14ac:dyDescent="0.3">
      <c r="A704" t="s">
        <v>15</v>
      </c>
      <c r="B704" t="s">
        <v>185</v>
      </c>
      <c r="C704" t="s">
        <v>186</v>
      </c>
      <c r="D704">
        <v>2</v>
      </c>
      <c r="E704" t="s">
        <v>35</v>
      </c>
      <c r="F704" t="s">
        <v>36</v>
      </c>
      <c r="G704">
        <v>20</v>
      </c>
      <c r="H704">
        <v>41</v>
      </c>
      <c r="I704">
        <v>61</v>
      </c>
      <c r="J704">
        <f t="shared" si="30"/>
        <v>-21</v>
      </c>
      <c r="K704" t="s">
        <v>20</v>
      </c>
      <c r="L704">
        <f t="shared" si="31"/>
        <v>1</v>
      </c>
      <c r="M704">
        <v>6</v>
      </c>
      <c r="N704">
        <v>3</v>
      </c>
      <c r="O704">
        <f t="shared" si="32"/>
        <v>1</v>
      </c>
    </row>
    <row r="705" spans="1:15" x14ac:dyDescent="0.3">
      <c r="A705" t="s">
        <v>15</v>
      </c>
      <c r="B705" t="s">
        <v>185</v>
      </c>
      <c r="C705" t="s">
        <v>186</v>
      </c>
      <c r="D705">
        <v>2</v>
      </c>
      <c r="E705" t="s">
        <v>37</v>
      </c>
      <c r="F705" t="s">
        <v>38</v>
      </c>
      <c r="G705">
        <v>34</v>
      </c>
      <c r="H705">
        <v>42</v>
      </c>
      <c r="I705">
        <v>76</v>
      </c>
      <c r="J705">
        <f t="shared" si="30"/>
        <v>-8</v>
      </c>
      <c r="K705" t="s">
        <v>20</v>
      </c>
      <c r="L705">
        <f t="shared" si="31"/>
        <v>1</v>
      </c>
      <c r="M705">
        <v>8</v>
      </c>
      <c r="N705">
        <v>3</v>
      </c>
      <c r="O705">
        <f t="shared" si="32"/>
        <v>1</v>
      </c>
    </row>
    <row r="706" spans="1:15" x14ac:dyDescent="0.3">
      <c r="A706" t="s">
        <v>15</v>
      </c>
      <c r="B706" t="s">
        <v>185</v>
      </c>
      <c r="C706" t="s">
        <v>186</v>
      </c>
      <c r="D706">
        <v>1</v>
      </c>
      <c r="E706" t="s">
        <v>39</v>
      </c>
      <c r="F706" t="s">
        <v>40</v>
      </c>
      <c r="G706">
        <v>93</v>
      </c>
      <c r="H706">
        <v>0</v>
      </c>
      <c r="I706">
        <v>93</v>
      </c>
      <c r="J706">
        <f t="shared" ref="J706:J769" si="33">IF(H706=0,0,G706-H706)</f>
        <v>0</v>
      </c>
      <c r="K706" t="s">
        <v>20</v>
      </c>
      <c r="L706">
        <f t="shared" ref="L706:L769" si="34">IF(K706="Pass",1,0)</f>
        <v>1</v>
      </c>
      <c r="M706">
        <v>10</v>
      </c>
      <c r="N706">
        <v>1</v>
      </c>
      <c r="O706">
        <f t="shared" ref="O706:O769" si="35">IF(H706=0,0,1)</f>
        <v>0</v>
      </c>
    </row>
    <row r="707" spans="1:15" x14ac:dyDescent="0.3">
      <c r="A707" t="s">
        <v>15</v>
      </c>
      <c r="B707" t="s">
        <v>185</v>
      </c>
      <c r="C707" t="s">
        <v>186</v>
      </c>
      <c r="D707">
        <v>1</v>
      </c>
      <c r="E707" t="s">
        <v>41</v>
      </c>
      <c r="F707" t="s">
        <v>42</v>
      </c>
      <c r="G707">
        <v>23</v>
      </c>
      <c r="H707">
        <v>30</v>
      </c>
      <c r="I707">
        <v>53</v>
      </c>
      <c r="J707">
        <f t="shared" si="33"/>
        <v>-7</v>
      </c>
      <c r="K707" t="s">
        <v>20</v>
      </c>
      <c r="L707">
        <f t="shared" si="34"/>
        <v>1</v>
      </c>
      <c r="M707">
        <v>6</v>
      </c>
      <c r="N707">
        <v>3</v>
      </c>
      <c r="O707">
        <f t="shared" si="35"/>
        <v>1</v>
      </c>
    </row>
    <row r="708" spans="1:15" x14ac:dyDescent="0.3">
      <c r="A708" t="s">
        <v>15</v>
      </c>
      <c r="B708" t="s">
        <v>185</v>
      </c>
      <c r="C708" t="s">
        <v>186</v>
      </c>
      <c r="D708">
        <v>1</v>
      </c>
      <c r="E708" t="s">
        <v>43</v>
      </c>
      <c r="F708" t="s">
        <v>44</v>
      </c>
      <c r="G708">
        <v>68</v>
      </c>
      <c r="H708">
        <v>0</v>
      </c>
      <c r="I708">
        <v>68</v>
      </c>
      <c r="J708">
        <f t="shared" si="33"/>
        <v>0</v>
      </c>
      <c r="K708" t="s">
        <v>20</v>
      </c>
      <c r="L708">
        <f t="shared" si="34"/>
        <v>1</v>
      </c>
      <c r="M708">
        <v>7</v>
      </c>
      <c r="N708">
        <v>1</v>
      </c>
      <c r="O708">
        <f t="shared" si="35"/>
        <v>0</v>
      </c>
    </row>
    <row r="709" spans="1:15" x14ac:dyDescent="0.3">
      <c r="A709" t="s">
        <v>15</v>
      </c>
      <c r="B709" t="s">
        <v>185</v>
      </c>
      <c r="C709" t="s">
        <v>186</v>
      </c>
      <c r="D709">
        <v>1</v>
      </c>
      <c r="E709" t="s">
        <v>45</v>
      </c>
      <c r="F709" t="s">
        <v>46</v>
      </c>
      <c r="G709">
        <v>30</v>
      </c>
      <c r="H709">
        <v>52</v>
      </c>
      <c r="I709">
        <v>82</v>
      </c>
      <c r="J709">
        <f t="shared" si="33"/>
        <v>-22</v>
      </c>
      <c r="K709" t="s">
        <v>20</v>
      </c>
      <c r="L709">
        <f t="shared" si="34"/>
        <v>1</v>
      </c>
      <c r="M709">
        <v>9</v>
      </c>
      <c r="N709">
        <v>1</v>
      </c>
      <c r="O709">
        <f t="shared" si="35"/>
        <v>1</v>
      </c>
    </row>
    <row r="710" spans="1:15" x14ac:dyDescent="0.3">
      <c r="A710" t="s">
        <v>15</v>
      </c>
      <c r="B710" t="s">
        <v>185</v>
      </c>
      <c r="C710" t="s">
        <v>186</v>
      </c>
      <c r="D710">
        <v>1</v>
      </c>
      <c r="E710" t="s">
        <v>189</v>
      </c>
      <c r="F710" t="s">
        <v>190</v>
      </c>
      <c r="G710">
        <v>89</v>
      </c>
      <c r="H710">
        <v>0</v>
      </c>
      <c r="I710">
        <v>89</v>
      </c>
      <c r="J710">
        <f t="shared" si="33"/>
        <v>0</v>
      </c>
      <c r="K710" t="s">
        <v>20</v>
      </c>
      <c r="L710">
        <f t="shared" si="34"/>
        <v>1</v>
      </c>
      <c r="M710">
        <v>9</v>
      </c>
      <c r="N710">
        <v>1</v>
      </c>
      <c r="O710">
        <f t="shared" si="35"/>
        <v>0</v>
      </c>
    </row>
    <row r="711" spans="1:15" x14ac:dyDescent="0.3">
      <c r="A711" t="s">
        <v>15</v>
      </c>
      <c r="B711" t="s">
        <v>185</v>
      </c>
      <c r="C711" t="s">
        <v>186</v>
      </c>
      <c r="D711">
        <v>1</v>
      </c>
      <c r="E711" t="s">
        <v>49</v>
      </c>
      <c r="F711" t="s">
        <v>50</v>
      </c>
      <c r="G711">
        <v>85</v>
      </c>
      <c r="H711">
        <v>0</v>
      </c>
      <c r="I711">
        <v>85</v>
      </c>
      <c r="J711">
        <f t="shared" si="33"/>
        <v>0</v>
      </c>
      <c r="K711" t="s">
        <v>20</v>
      </c>
      <c r="L711">
        <f t="shared" si="34"/>
        <v>1</v>
      </c>
      <c r="M711">
        <v>9</v>
      </c>
      <c r="N711">
        <v>1</v>
      </c>
      <c r="O711">
        <f t="shared" si="35"/>
        <v>0</v>
      </c>
    </row>
    <row r="712" spans="1:15" x14ac:dyDescent="0.3">
      <c r="A712" t="s">
        <v>15</v>
      </c>
      <c r="B712" t="s">
        <v>185</v>
      </c>
      <c r="C712" t="s">
        <v>186</v>
      </c>
      <c r="D712">
        <v>1</v>
      </c>
      <c r="E712" t="s">
        <v>51</v>
      </c>
      <c r="F712" t="s">
        <v>52</v>
      </c>
      <c r="G712">
        <v>85</v>
      </c>
      <c r="H712">
        <v>0</v>
      </c>
      <c r="I712">
        <v>85</v>
      </c>
      <c r="J712">
        <f t="shared" si="33"/>
        <v>0</v>
      </c>
      <c r="K712" t="s">
        <v>20</v>
      </c>
      <c r="L712">
        <f t="shared" si="34"/>
        <v>1</v>
      </c>
      <c r="M712">
        <v>9</v>
      </c>
      <c r="N712">
        <v>1</v>
      </c>
      <c r="O712">
        <f t="shared" si="35"/>
        <v>0</v>
      </c>
    </row>
    <row r="713" spans="1:15" x14ac:dyDescent="0.3">
      <c r="A713" t="s">
        <v>15</v>
      </c>
      <c r="B713" t="s">
        <v>185</v>
      </c>
      <c r="C713" t="s">
        <v>186</v>
      </c>
      <c r="D713">
        <v>1</v>
      </c>
      <c r="E713" t="s">
        <v>53</v>
      </c>
      <c r="F713" t="s">
        <v>54</v>
      </c>
      <c r="G713">
        <v>39</v>
      </c>
      <c r="H713">
        <v>39</v>
      </c>
      <c r="I713">
        <v>78</v>
      </c>
      <c r="J713">
        <f t="shared" si="33"/>
        <v>0</v>
      </c>
      <c r="K713" t="s">
        <v>20</v>
      </c>
      <c r="L713">
        <f t="shared" si="34"/>
        <v>1</v>
      </c>
      <c r="M713">
        <v>8</v>
      </c>
      <c r="N713">
        <v>4</v>
      </c>
      <c r="O713">
        <f t="shared" si="35"/>
        <v>1</v>
      </c>
    </row>
    <row r="714" spans="1:15" x14ac:dyDescent="0.3">
      <c r="A714" t="s">
        <v>15</v>
      </c>
      <c r="B714" t="s">
        <v>185</v>
      </c>
      <c r="C714" t="s">
        <v>186</v>
      </c>
      <c r="D714">
        <v>1</v>
      </c>
      <c r="E714" t="s">
        <v>55</v>
      </c>
      <c r="F714" t="s">
        <v>56</v>
      </c>
      <c r="G714">
        <v>40</v>
      </c>
      <c r="H714">
        <v>48</v>
      </c>
      <c r="I714">
        <v>88</v>
      </c>
      <c r="J714">
        <f t="shared" si="33"/>
        <v>-8</v>
      </c>
      <c r="K714" t="s">
        <v>20</v>
      </c>
      <c r="L714">
        <f t="shared" si="34"/>
        <v>1</v>
      </c>
      <c r="M714">
        <v>9</v>
      </c>
      <c r="N714">
        <v>3</v>
      </c>
      <c r="O714">
        <f t="shared" si="35"/>
        <v>1</v>
      </c>
    </row>
    <row r="715" spans="1:15" x14ac:dyDescent="0.3">
      <c r="A715" t="s">
        <v>15</v>
      </c>
      <c r="B715" t="s">
        <v>185</v>
      </c>
      <c r="C715" t="s">
        <v>186</v>
      </c>
      <c r="D715">
        <v>1</v>
      </c>
      <c r="E715" t="s">
        <v>57</v>
      </c>
      <c r="F715" t="s">
        <v>58</v>
      </c>
      <c r="G715">
        <v>38</v>
      </c>
      <c r="H715">
        <v>45</v>
      </c>
      <c r="I715">
        <v>83</v>
      </c>
      <c r="J715">
        <f t="shared" si="33"/>
        <v>-7</v>
      </c>
      <c r="K715" t="s">
        <v>20</v>
      </c>
      <c r="L715">
        <f t="shared" si="34"/>
        <v>1</v>
      </c>
      <c r="M715">
        <v>9</v>
      </c>
      <c r="N715">
        <v>4</v>
      </c>
      <c r="O715">
        <f t="shared" si="35"/>
        <v>1</v>
      </c>
    </row>
    <row r="716" spans="1:15" x14ac:dyDescent="0.3">
      <c r="A716" t="s">
        <v>15</v>
      </c>
      <c r="B716" t="s">
        <v>191</v>
      </c>
      <c r="C716" t="s">
        <v>192</v>
      </c>
      <c r="D716">
        <v>2</v>
      </c>
      <c r="E716" t="s">
        <v>18</v>
      </c>
      <c r="F716" t="s">
        <v>19</v>
      </c>
      <c r="G716">
        <v>43</v>
      </c>
      <c r="H716">
        <v>35</v>
      </c>
      <c r="I716">
        <v>78</v>
      </c>
      <c r="J716">
        <f t="shared" si="33"/>
        <v>8</v>
      </c>
      <c r="K716" t="s">
        <v>20</v>
      </c>
      <c r="L716">
        <f t="shared" si="34"/>
        <v>1</v>
      </c>
      <c r="M716">
        <v>8</v>
      </c>
      <c r="N716">
        <v>4</v>
      </c>
      <c r="O716">
        <f t="shared" si="35"/>
        <v>1</v>
      </c>
    </row>
    <row r="717" spans="1:15" x14ac:dyDescent="0.3">
      <c r="A717" t="s">
        <v>15</v>
      </c>
      <c r="B717" t="s">
        <v>191</v>
      </c>
      <c r="C717" t="s">
        <v>192</v>
      </c>
      <c r="D717">
        <v>2</v>
      </c>
      <c r="E717" t="s">
        <v>21</v>
      </c>
      <c r="F717" t="s">
        <v>22</v>
      </c>
      <c r="G717">
        <v>39</v>
      </c>
      <c r="H717">
        <v>28</v>
      </c>
      <c r="I717">
        <v>67</v>
      </c>
      <c r="J717">
        <f t="shared" si="33"/>
        <v>11</v>
      </c>
      <c r="K717" t="s">
        <v>20</v>
      </c>
      <c r="L717">
        <f t="shared" si="34"/>
        <v>1</v>
      </c>
      <c r="M717">
        <v>7</v>
      </c>
      <c r="N717">
        <v>4</v>
      </c>
      <c r="O717">
        <f t="shared" si="35"/>
        <v>1</v>
      </c>
    </row>
    <row r="718" spans="1:15" x14ac:dyDescent="0.3">
      <c r="A718" t="s">
        <v>15</v>
      </c>
      <c r="B718" t="s">
        <v>191</v>
      </c>
      <c r="C718" t="s">
        <v>192</v>
      </c>
      <c r="D718">
        <v>2</v>
      </c>
      <c r="E718" t="s">
        <v>23</v>
      </c>
      <c r="F718" t="s">
        <v>24</v>
      </c>
      <c r="G718">
        <v>78</v>
      </c>
      <c r="H718">
        <v>0</v>
      </c>
      <c r="I718">
        <v>78</v>
      </c>
      <c r="J718">
        <f t="shared" si="33"/>
        <v>0</v>
      </c>
      <c r="K718" t="s">
        <v>20</v>
      </c>
      <c r="L718">
        <f t="shared" si="34"/>
        <v>1</v>
      </c>
      <c r="M718">
        <v>8</v>
      </c>
      <c r="N718">
        <v>1</v>
      </c>
      <c r="O718">
        <f t="shared" si="35"/>
        <v>0</v>
      </c>
    </row>
    <row r="719" spans="1:15" x14ac:dyDescent="0.3">
      <c r="A719" t="s">
        <v>15</v>
      </c>
      <c r="B719" t="s">
        <v>191</v>
      </c>
      <c r="C719" t="s">
        <v>192</v>
      </c>
      <c r="D719">
        <v>2</v>
      </c>
      <c r="E719" t="s">
        <v>25</v>
      </c>
      <c r="F719" t="s">
        <v>26</v>
      </c>
      <c r="G719">
        <v>35</v>
      </c>
      <c r="H719">
        <v>29</v>
      </c>
      <c r="I719">
        <v>64</v>
      </c>
      <c r="J719">
        <f t="shared" si="33"/>
        <v>6</v>
      </c>
      <c r="K719" t="s">
        <v>20</v>
      </c>
      <c r="L719">
        <f t="shared" si="34"/>
        <v>1</v>
      </c>
      <c r="M719">
        <v>7</v>
      </c>
      <c r="N719">
        <v>1</v>
      </c>
      <c r="O719">
        <f t="shared" si="35"/>
        <v>1</v>
      </c>
    </row>
    <row r="720" spans="1:15" x14ac:dyDescent="0.3">
      <c r="A720" t="s">
        <v>15</v>
      </c>
      <c r="B720" t="s">
        <v>191</v>
      </c>
      <c r="C720" t="s">
        <v>192</v>
      </c>
      <c r="D720">
        <v>2</v>
      </c>
      <c r="E720" t="s">
        <v>27</v>
      </c>
      <c r="F720" t="s">
        <v>28</v>
      </c>
      <c r="G720">
        <v>30</v>
      </c>
      <c r="H720">
        <v>31</v>
      </c>
      <c r="I720">
        <v>61</v>
      </c>
      <c r="J720">
        <f t="shared" si="33"/>
        <v>-1</v>
      </c>
      <c r="K720" t="s">
        <v>20</v>
      </c>
      <c r="L720">
        <f t="shared" si="34"/>
        <v>1</v>
      </c>
      <c r="M720">
        <v>6</v>
      </c>
      <c r="N720">
        <v>2</v>
      </c>
      <c r="O720">
        <f t="shared" si="35"/>
        <v>1</v>
      </c>
    </row>
    <row r="721" spans="1:15" x14ac:dyDescent="0.3">
      <c r="A721" t="s">
        <v>15</v>
      </c>
      <c r="B721" t="s">
        <v>191</v>
      </c>
      <c r="C721" t="s">
        <v>192</v>
      </c>
      <c r="D721">
        <v>2</v>
      </c>
      <c r="E721" t="s">
        <v>29</v>
      </c>
      <c r="F721" t="s">
        <v>30</v>
      </c>
      <c r="G721">
        <v>66</v>
      </c>
      <c r="H721">
        <v>0</v>
      </c>
      <c r="I721">
        <v>66</v>
      </c>
      <c r="J721">
        <f t="shared" si="33"/>
        <v>0</v>
      </c>
      <c r="K721" t="s">
        <v>20</v>
      </c>
      <c r="L721">
        <f t="shared" si="34"/>
        <v>1</v>
      </c>
      <c r="M721">
        <v>7</v>
      </c>
      <c r="N721">
        <v>1</v>
      </c>
      <c r="O721">
        <f t="shared" si="35"/>
        <v>0</v>
      </c>
    </row>
    <row r="722" spans="1:15" x14ac:dyDescent="0.3">
      <c r="A722" t="s">
        <v>15</v>
      </c>
      <c r="B722" t="s">
        <v>191</v>
      </c>
      <c r="C722" t="s">
        <v>192</v>
      </c>
      <c r="D722">
        <v>2</v>
      </c>
      <c r="E722" t="s">
        <v>31</v>
      </c>
      <c r="F722" t="s">
        <v>32</v>
      </c>
      <c r="G722">
        <v>96</v>
      </c>
      <c r="H722">
        <v>0</v>
      </c>
      <c r="I722">
        <v>96</v>
      </c>
      <c r="J722">
        <f t="shared" si="33"/>
        <v>0</v>
      </c>
      <c r="K722" t="s">
        <v>20</v>
      </c>
      <c r="L722">
        <f t="shared" si="34"/>
        <v>1</v>
      </c>
      <c r="M722">
        <v>10</v>
      </c>
      <c r="N722">
        <v>1</v>
      </c>
      <c r="O722">
        <f t="shared" si="35"/>
        <v>0</v>
      </c>
    </row>
    <row r="723" spans="1:15" x14ac:dyDescent="0.3">
      <c r="A723" t="s">
        <v>15</v>
      </c>
      <c r="B723" t="s">
        <v>191</v>
      </c>
      <c r="C723" t="s">
        <v>192</v>
      </c>
      <c r="D723">
        <v>2</v>
      </c>
      <c r="E723" t="s">
        <v>33</v>
      </c>
      <c r="F723" t="s">
        <v>34</v>
      </c>
      <c r="G723">
        <v>40</v>
      </c>
      <c r="H723">
        <v>38</v>
      </c>
      <c r="I723">
        <v>78</v>
      </c>
      <c r="J723">
        <f t="shared" si="33"/>
        <v>2</v>
      </c>
      <c r="K723" t="s">
        <v>20</v>
      </c>
      <c r="L723">
        <f t="shared" si="34"/>
        <v>1</v>
      </c>
      <c r="M723">
        <v>8</v>
      </c>
      <c r="N723">
        <v>4</v>
      </c>
      <c r="O723">
        <f t="shared" si="35"/>
        <v>1</v>
      </c>
    </row>
    <row r="724" spans="1:15" x14ac:dyDescent="0.3">
      <c r="A724" t="s">
        <v>15</v>
      </c>
      <c r="B724" t="s">
        <v>191</v>
      </c>
      <c r="C724" t="s">
        <v>192</v>
      </c>
      <c r="D724">
        <v>2</v>
      </c>
      <c r="E724" t="s">
        <v>35</v>
      </c>
      <c r="F724" t="s">
        <v>36</v>
      </c>
      <c r="G724">
        <v>24</v>
      </c>
      <c r="H724">
        <v>30</v>
      </c>
      <c r="I724">
        <v>54</v>
      </c>
      <c r="J724">
        <f t="shared" si="33"/>
        <v>-6</v>
      </c>
      <c r="K724" t="s">
        <v>20</v>
      </c>
      <c r="L724">
        <f t="shared" si="34"/>
        <v>1</v>
      </c>
      <c r="M724">
        <v>5</v>
      </c>
      <c r="N724">
        <v>3</v>
      </c>
      <c r="O724">
        <f t="shared" si="35"/>
        <v>1</v>
      </c>
    </row>
    <row r="725" spans="1:15" x14ac:dyDescent="0.3">
      <c r="A725" t="s">
        <v>15</v>
      </c>
      <c r="B725" t="s">
        <v>191</v>
      </c>
      <c r="C725" t="s">
        <v>192</v>
      </c>
      <c r="D725">
        <v>2</v>
      </c>
      <c r="E725" t="s">
        <v>37</v>
      </c>
      <c r="F725" t="s">
        <v>38</v>
      </c>
      <c r="G725">
        <v>31</v>
      </c>
      <c r="H725">
        <v>48</v>
      </c>
      <c r="I725">
        <v>79</v>
      </c>
      <c r="J725">
        <f t="shared" si="33"/>
        <v>-17</v>
      </c>
      <c r="K725" t="s">
        <v>20</v>
      </c>
      <c r="L725">
        <f t="shared" si="34"/>
        <v>1</v>
      </c>
      <c r="M725">
        <v>8</v>
      </c>
      <c r="N725">
        <v>3</v>
      </c>
      <c r="O725">
        <f t="shared" si="35"/>
        <v>1</v>
      </c>
    </row>
    <row r="726" spans="1:15" x14ac:dyDescent="0.3">
      <c r="A726" t="s">
        <v>15</v>
      </c>
      <c r="B726" t="s">
        <v>191</v>
      </c>
      <c r="C726" t="s">
        <v>192</v>
      </c>
      <c r="D726">
        <v>1</v>
      </c>
      <c r="E726" t="s">
        <v>39</v>
      </c>
      <c r="F726" t="s">
        <v>40</v>
      </c>
      <c r="G726">
        <v>90</v>
      </c>
      <c r="H726">
        <v>0</v>
      </c>
      <c r="I726">
        <v>90</v>
      </c>
      <c r="J726">
        <f t="shared" si="33"/>
        <v>0</v>
      </c>
      <c r="K726" t="s">
        <v>20</v>
      </c>
      <c r="L726">
        <f t="shared" si="34"/>
        <v>1</v>
      </c>
      <c r="M726">
        <v>9</v>
      </c>
      <c r="N726">
        <v>1</v>
      </c>
      <c r="O726">
        <f t="shared" si="35"/>
        <v>0</v>
      </c>
    </row>
    <row r="727" spans="1:15" x14ac:dyDescent="0.3">
      <c r="A727" t="s">
        <v>15</v>
      </c>
      <c r="B727" t="s">
        <v>191</v>
      </c>
      <c r="C727" t="s">
        <v>192</v>
      </c>
      <c r="D727">
        <v>1</v>
      </c>
      <c r="E727" t="s">
        <v>41</v>
      </c>
      <c r="F727" t="s">
        <v>42</v>
      </c>
      <c r="G727">
        <v>26</v>
      </c>
      <c r="H727">
        <v>30</v>
      </c>
      <c r="I727">
        <v>56</v>
      </c>
      <c r="J727">
        <f t="shared" si="33"/>
        <v>-4</v>
      </c>
      <c r="K727" t="s">
        <v>20</v>
      </c>
      <c r="L727">
        <f t="shared" si="34"/>
        <v>1</v>
      </c>
      <c r="M727">
        <v>7</v>
      </c>
      <c r="N727">
        <v>3</v>
      </c>
      <c r="O727">
        <f t="shared" si="35"/>
        <v>1</v>
      </c>
    </row>
    <row r="728" spans="1:15" x14ac:dyDescent="0.3">
      <c r="A728" t="s">
        <v>15</v>
      </c>
      <c r="B728" t="s">
        <v>191</v>
      </c>
      <c r="C728" t="s">
        <v>192</v>
      </c>
      <c r="D728">
        <v>1</v>
      </c>
      <c r="E728" t="s">
        <v>43</v>
      </c>
      <c r="F728" t="s">
        <v>44</v>
      </c>
      <c r="G728">
        <v>63</v>
      </c>
      <c r="H728">
        <v>0</v>
      </c>
      <c r="I728">
        <v>63</v>
      </c>
      <c r="J728">
        <f t="shared" si="33"/>
        <v>0</v>
      </c>
      <c r="K728" t="s">
        <v>20</v>
      </c>
      <c r="L728">
        <f t="shared" si="34"/>
        <v>1</v>
      </c>
      <c r="M728">
        <v>7</v>
      </c>
      <c r="N728">
        <v>1</v>
      </c>
      <c r="O728">
        <f t="shared" si="35"/>
        <v>0</v>
      </c>
    </row>
    <row r="729" spans="1:15" x14ac:dyDescent="0.3">
      <c r="A729" t="s">
        <v>15</v>
      </c>
      <c r="B729" t="s">
        <v>191</v>
      </c>
      <c r="C729" t="s">
        <v>192</v>
      </c>
      <c r="D729">
        <v>1</v>
      </c>
      <c r="E729" t="s">
        <v>45</v>
      </c>
      <c r="F729" t="s">
        <v>46</v>
      </c>
      <c r="G729">
        <v>29</v>
      </c>
      <c r="H729">
        <v>40</v>
      </c>
      <c r="I729">
        <v>69</v>
      </c>
      <c r="J729">
        <f t="shared" si="33"/>
        <v>-11</v>
      </c>
      <c r="K729" t="s">
        <v>20</v>
      </c>
      <c r="L729">
        <f t="shared" si="34"/>
        <v>1</v>
      </c>
      <c r="M729">
        <v>7</v>
      </c>
      <c r="N729">
        <v>1</v>
      </c>
      <c r="O729">
        <f t="shared" si="35"/>
        <v>1</v>
      </c>
    </row>
    <row r="730" spans="1:15" x14ac:dyDescent="0.3">
      <c r="A730" t="s">
        <v>15</v>
      </c>
      <c r="B730" t="s">
        <v>191</v>
      </c>
      <c r="C730" t="s">
        <v>192</v>
      </c>
      <c r="D730">
        <v>1</v>
      </c>
      <c r="E730" t="s">
        <v>88</v>
      </c>
      <c r="F730" t="s">
        <v>89</v>
      </c>
      <c r="G730">
        <v>98</v>
      </c>
      <c r="H730">
        <v>0</v>
      </c>
      <c r="I730">
        <v>98</v>
      </c>
      <c r="J730">
        <f t="shared" si="33"/>
        <v>0</v>
      </c>
      <c r="K730" t="s">
        <v>20</v>
      </c>
      <c r="L730">
        <f t="shared" si="34"/>
        <v>1</v>
      </c>
      <c r="M730">
        <v>10</v>
      </c>
      <c r="N730">
        <v>1</v>
      </c>
      <c r="O730">
        <f t="shared" si="35"/>
        <v>0</v>
      </c>
    </row>
    <row r="731" spans="1:15" x14ac:dyDescent="0.3">
      <c r="A731" t="s">
        <v>15</v>
      </c>
      <c r="B731" t="s">
        <v>191</v>
      </c>
      <c r="C731" t="s">
        <v>192</v>
      </c>
      <c r="D731">
        <v>1</v>
      </c>
      <c r="E731" t="s">
        <v>49</v>
      </c>
      <c r="F731" t="s">
        <v>50</v>
      </c>
      <c r="G731">
        <v>80</v>
      </c>
      <c r="H731">
        <v>0</v>
      </c>
      <c r="I731">
        <v>80</v>
      </c>
      <c r="J731">
        <f t="shared" si="33"/>
        <v>0</v>
      </c>
      <c r="K731" t="s">
        <v>20</v>
      </c>
      <c r="L731">
        <f t="shared" si="34"/>
        <v>1</v>
      </c>
      <c r="M731">
        <v>8</v>
      </c>
      <c r="N731">
        <v>1</v>
      </c>
      <c r="O731">
        <f t="shared" si="35"/>
        <v>0</v>
      </c>
    </row>
    <row r="732" spans="1:15" x14ac:dyDescent="0.3">
      <c r="A732" t="s">
        <v>15</v>
      </c>
      <c r="B732" t="s">
        <v>191</v>
      </c>
      <c r="C732" t="s">
        <v>192</v>
      </c>
      <c r="D732">
        <v>1</v>
      </c>
      <c r="E732" t="s">
        <v>51</v>
      </c>
      <c r="F732" t="s">
        <v>52</v>
      </c>
      <c r="G732">
        <v>91</v>
      </c>
      <c r="H732">
        <v>0</v>
      </c>
      <c r="I732">
        <v>91</v>
      </c>
      <c r="J732">
        <f t="shared" si="33"/>
        <v>0</v>
      </c>
      <c r="K732" t="s">
        <v>20</v>
      </c>
      <c r="L732">
        <f t="shared" si="34"/>
        <v>1</v>
      </c>
      <c r="M732">
        <v>10</v>
      </c>
      <c r="N732">
        <v>1</v>
      </c>
      <c r="O732">
        <f t="shared" si="35"/>
        <v>0</v>
      </c>
    </row>
    <row r="733" spans="1:15" x14ac:dyDescent="0.3">
      <c r="A733" t="s">
        <v>15</v>
      </c>
      <c r="B733" t="s">
        <v>191</v>
      </c>
      <c r="C733" t="s">
        <v>192</v>
      </c>
      <c r="D733">
        <v>1</v>
      </c>
      <c r="E733" t="s">
        <v>53</v>
      </c>
      <c r="F733" t="s">
        <v>54</v>
      </c>
      <c r="G733">
        <v>44</v>
      </c>
      <c r="H733">
        <v>45</v>
      </c>
      <c r="I733">
        <v>89</v>
      </c>
      <c r="J733">
        <f t="shared" si="33"/>
        <v>-1</v>
      </c>
      <c r="K733" t="s">
        <v>20</v>
      </c>
      <c r="L733">
        <f t="shared" si="34"/>
        <v>1</v>
      </c>
      <c r="M733">
        <v>9</v>
      </c>
      <c r="N733">
        <v>4</v>
      </c>
      <c r="O733">
        <f t="shared" si="35"/>
        <v>1</v>
      </c>
    </row>
    <row r="734" spans="1:15" x14ac:dyDescent="0.3">
      <c r="A734" t="s">
        <v>15</v>
      </c>
      <c r="B734" t="s">
        <v>191</v>
      </c>
      <c r="C734" t="s">
        <v>192</v>
      </c>
      <c r="D734">
        <v>1</v>
      </c>
      <c r="E734" t="s">
        <v>55</v>
      </c>
      <c r="F734" t="s">
        <v>56</v>
      </c>
      <c r="G734">
        <v>40</v>
      </c>
      <c r="H734">
        <v>33</v>
      </c>
      <c r="I734">
        <v>73</v>
      </c>
      <c r="J734">
        <f t="shared" si="33"/>
        <v>7</v>
      </c>
      <c r="K734" t="s">
        <v>20</v>
      </c>
      <c r="L734">
        <f t="shared" si="34"/>
        <v>1</v>
      </c>
      <c r="M734">
        <v>8</v>
      </c>
      <c r="N734">
        <v>3</v>
      </c>
      <c r="O734">
        <f t="shared" si="35"/>
        <v>1</v>
      </c>
    </row>
    <row r="735" spans="1:15" x14ac:dyDescent="0.3">
      <c r="A735" t="s">
        <v>15</v>
      </c>
      <c r="B735" t="s">
        <v>191</v>
      </c>
      <c r="C735" t="s">
        <v>192</v>
      </c>
      <c r="D735">
        <v>1</v>
      </c>
      <c r="E735" t="s">
        <v>57</v>
      </c>
      <c r="F735" t="s">
        <v>58</v>
      </c>
      <c r="G735">
        <v>39</v>
      </c>
      <c r="H735">
        <v>44</v>
      </c>
      <c r="I735">
        <v>83</v>
      </c>
      <c r="J735">
        <f t="shared" si="33"/>
        <v>-5</v>
      </c>
      <c r="K735" t="s">
        <v>20</v>
      </c>
      <c r="L735">
        <f t="shared" si="34"/>
        <v>1</v>
      </c>
      <c r="M735">
        <v>9</v>
      </c>
      <c r="N735">
        <v>4</v>
      </c>
      <c r="O735">
        <f t="shared" si="35"/>
        <v>1</v>
      </c>
    </row>
    <row r="736" spans="1:15" x14ac:dyDescent="0.3">
      <c r="A736" t="s">
        <v>15</v>
      </c>
      <c r="B736" t="s">
        <v>193</v>
      </c>
      <c r="C736" t="s">
        <v>194</v>
      </c>
      <c r="D736">
        <v>2</v>
      </c>
      <c r="E736" t="s">
        <v>21</v>
      </c>
      <c r="F736" t="s">
        <v>22</v>
      </c>
      <c r="G736">
        <v>34</v>
      </c>
      <c r="H736">
        <v>18</v>
      </c>
      <c r="I736">
        <v>52</v>
      </c>
      <c r="J736">
        <f t="shared" si="33"/>
        <v>16</v>
      </c>
      <c r="K736" t="s">
        <v>87</v>
      </c>
      <c r="L736">
        <f t="shared" si="34"/>
        <v>0</v>
      </c>
      <c r="M736">
        <v>0</v>
      </c>
      <c r="N736">
        <v>4</v>
      </c>
      <c r="O736">
        <f t="shared" si="35"/>
        <v>1</v>
      </c>
    </row>
    <row r="737" spans="1:15" x14ac:dyDescent="0.3">
      <c r="A737" t="s">
        <v>15</v>
      </c>
      <c r="B737" t="s">
        <v>193</v>
      </c>
      <c r="C737" t="s">
        <v>194</v>
      </c>
      <c r="D737">
        <v>2</v>
      </c>
      <c r="E737" t="s">
        <v>33</v>
      </c>
      <c r="F737" t="s">
        <v>34</v>
      </c>
      <c r="G737">
        <v>30</v>
      </c>
      <c r="H737">
        <v>14</v>
      </c>
      <c r="I737">
        <v>44</v>
      </c>
      <c r="J737">
        <f t="shared" si="33"/>
        <v>16</v>
      </c>
      <c r="K737" t="s">
        <v>87</v>
      </c>
      <c r="L737">
        <f t="shared" si="34"/>
        <v>0</v>
      </c>
      <c r="M737">
        <v>0</v>
      </c>
      <c r="N737">
        <v>4</v>
      </c>
      <c r="O737">
        <f t="shared" si="35"/>
        <v>1</v>
      </c>
    </row>
    <row r="738" spans="1:15" x14ac:dyDescent="0.3">
      <c r="A738" t="s">
        <v>15</v>
      </c>
      <c r="B738" t="s">
        <v>193</v>
      </c>
      <c r="C738" t="s">
        <v>194</v>
      </c>
      <c r="D738">
        <v>2</v>
      </c>
      <c r="E738" t="s">
        <v>35</v>
      </c>
      <c r="F738" t="s">
        <v>36</v>
      </c>
      <c r="G738">
        <v>13</v>
      </c>
      <c r="H738">
        <v>36</v>
      </c>
      <c r="I738">
        <v>49</v>
      </c>
      <c r="J738">
        <f t="shared" si="33"/>
        <v>-23</v>
      </c>
      <c r="K738" t="s">
        <v>87</v>
      </c>
      <c r="L738">
        <f t="shared" si="34"/>
        <v>0</v>
      </c>
      <c r="M738">
        <v>0</v>
      </c>
      <c r="N738">
        <v>3</v>
      </c>
      <c r="O738">
        <f t="shared" si="35"/>
        <v>1</v>
      </c>
    </row>
    <row r="739" spans="1:15" x14ac:dyDescent="0.3">
      <c r="A739" t="s">
        <v>15</v>
      </c>
      <c r="B739" t="s">
        <v>193</v>
      </c>
      <c r="C739" t="s">
        <v>194</v>
      </c>
      <c r="D739">
        <v>2</v>
      </c>
      <c r="E739" t="s">
        <v>18</v>
      </c>
      <c r="F739" t="s">
        <v>19</v>
      </c>
      <c r="G739">
        <v>40</v>
      </c>
      <c r="H739">
        <v>29</v>
      </c>
      <c r="I739">
        <v>69</v>
      </c>
      <c r="J739">
        <f t="shared" si="33"/>
        <v>11</v>
      </c>
      <c r="K739" t="s">
        <v>20</v>
      </c>
      <c r="L739">
        <f t="shared" si="34"/>
        <v>1</v>
      </c>
      <c r="M739">
        <v>7</v>
      </c>
      <c r="N739">
        <v>4</v>
      </c>
      <c r="O739">
        <f t="shared" si="35"/>
        <v>1</v>
      </c>
    </row>
    <row r="740" spans="1:15" x14ac:dyDescent="0.3">
      <c r="A740" t="s">
        <v>15</v>
      </c>
      <c r="B740" t="s">
        <v>193</v>
      </c>
      <c r="C740" t="s">
        <v>194</v>
      </c>
      <c r="D740">
        <v>2</v>
      </c>
      <c r="E740" t="s">
        <v>41</v>
      </c>
      <c r="F740" t="s">
        <v>42</v>
      </c>
      <c r="G740">
        <v>21</v>
      </c>
      <c r="H740">
        <v>44</v>
      </c>
      <c r="I740">
        <v>65</v>
      </c>
      <c r="J740">
        <f t="shared" si="33"/>
        <v>-23</v>
      </c>
      <c r="K740" t="s">
        <v>20</v>
      </c>
      <c r="L740">
        <f t="shared" si="34"/>
        <v>1</v>
      </c>
      <c r="M740">
        <v>8</v>
      </c>
      <c r="N740">
        <v>3</v>
      </c>
      <c r="O740">
        <f t="shared" si="35"/>
        <v>1</v>
      </c>
    </row>
    <row r="741" spans="1:15" x14ac:dyDescent="0.3">
      <c r="A741" t="s">
        <v>15</v>
      </c>
      <c r="B741" t="s">
        <v>193</v>
      </c>
      <c r="C741" t="s">
        <v>194</v>
      </c>
      <c r="D741">
        <v>2</v>
      </c>
      <c r="E741" t="s">
        <v>23</v>
      </c>
      <c r="F741" t="s">
        <v>24</v>
      </c>
      <c r="G741">
        <v>71</v>
      </c>
      <c r="H741">
        <v>0</v>
      </c>
      <c r="I741">
        <v>71</v>
      </c>
      <c r="J741">
        <f t="shared" si="33"/>
        <v>0</v>
      </c>
      <c r="K741" t="s">
        <v>20</v>
      </c>
      <c r="L741">
        <f t="shared" si="34"/>
        <v>1</v>
      </c>
      <c r="M741">
        <v>8</v>
      </c>
      <c r="N741">
        <v>1</v>
      </c>
      <c r="O741">
        <f t="shared" si="35"/>
        <v>0</v>
      </c>
    </row>
    <row r="742" spans="1:15" x14ac:dyDescent="0.3">
      <c r="A742" t="s">
        <v>15</v>
      </c>
      <c r="B742" t="s">
        <v>193</v>
      </c>
      <c r="C742" t="s">
        <v>194</v>
      </c>
      <c r="D742">
        <v>2</v>
      </c>
      <c r="E742" t="s">
        <v>25</v>
      </c>
      <c r="F742" t="s">
        <v>26</v>
      </c>
      <c r="G742">
        <v>39</v>
      </c>
      <c r="H742">
        <v>32</v>
      </c>
      <c r="I742">
        <v>71</v>
      </c>
      <c r="J742">
        <f t="shared" si="33"/>
        <v>7</v>
      </c>
      <c r="K742" t="s">
        <v>20</v>
      </c>
      <c r="L742">
        <f t="shared" si="34"/>
        <v>1</v>
      </c>
      <c r="M742">
        <v>7</v>
      </c>
      <c r="N742">
        <v>1</v>
      </c>
      <c r="O742">
        <f t="shared" si="35"/>
        <v>1</v>
      </c>
    </row>
    <row r="743" spans="1:15" x14ac:dyDescent="0.3">
      <c r="A743" t="s">
        <v>15</v>
      </c>
      <c r="B743" t="s">
        <v>193</v>
      </c>
      <c r="C743" t="s">
        <v>194</v>
      </c>
      <c r="D743">
        <v>2</v>
      </c>
      <c r="E743" t="s">
        <v>61</v>
      </c>
      <c r="F743" t="s">
        <v>62</v>
      </c>
      <c r="G743">
        <v>21</v>
      </c>
      <c r="H743">
        <v>40</v>
      </c>
      <c r="I743">
        <v>61</v>
      </c>
      <c r="J743">
        <f t="shared" si="33"/>
        <v>-19</v>
      </c>
      <c r="K743" t="s">
        <v>20</v>
      </c>
      <c r="L743">
        <f t="shared" si="34"/>
        <v>1</v>
      </c>
      <c r="M743">
        <v>6</v>
      </c>
      <c r="N743">
        <v>2</v>
      </c>
      <c r="O743">
        <f t="shared" si="35"/>
        <v>1</v>
      </c>
    </row>
    <row r="744" spans="1:15" x14ac:dyDescent="0.3">
      <c r="A744" t="s">
        <v>15</v>
      </c>
      <c r="B744" t="s">
        <v>193</v>
      </c>
      <c r="C744" t="s">
        <v>194</v>
      </c>
      <c r="D744">
        <v>2</v>
      </c>
      <c r="E744" t="s">
        <v>69</v>
      </c>
      <c r="F744" t="s">
        <v>70</v>
      </c>
      <c r="G744">
        <v>100</v>
      </c>
      <c r="H744">
        <v>0</v>
      </c>
      <c r="I744">
        <v>100</v>
      </c>
      <c r="J744">
        <f t="shared" si="33"/>
        <v>0</v>
      </c>
      <c r="K744" t="s">
        <v>20</v>
      </c>
      <c r="L744">
        <f t="shared" si="34"/>
        <v>1</v>
      </c>
      <c r="M744">
        <v>10</v>
      </c>
      <c r="N744">
        <v>1</v>
      </c>
      <c r="O744">
        <f t="shared" si="35"/>
        <v>0</v>
      </c>
    </row>
    <row r="745" spans="1:15" x14ac:dyDescent="0.3">
      <c r="A745" t="s">
        <v>15</v>
      </c>
      <c r="B745" t="s">
        <v>193</v>
      </c>
      <c r="C745" t="s">
        <v>194</v>
      </c>
      <c r="D745">
        <v>2</v>
      </c>
      <c r="E745" t="s">
        <v>31</v>
      </c>
      <c r="F745" t="s">
        <v>32</v>
      </c>
      <c r="G745">
        <v>94</v>
      </c>
      <c r="H745">
        <v>0</v>
      </c>
      <c r="I745">
        <v>94</v>
      </c>
      <c r="J745">
        <f t="shared" si="33"/>
        <v>0</v>
      </c>
      <c r="K745" t="s">
        <v>20</v>
      </c>
      <c r="L745">
        <f t="shared" si="34"/>
        <v>1</v>
      </c>
      <c r="M745">
        <v>10</v>
      </c>
      <c r="N745">
        <v>1</v>
      </c>
      <c r="O745">
        <f t="shared" si="35"/>
        <v>0</v>
      </c>
    </row>
    <row r="746" spans="1:15" x14ac:dyDescent="0.3">
      <c r="A746" t="s">
        <v>15</v>
      </c>
      <c r="B746" t="s">
        <v>193</v>
      </c>
      <c r="C746" t="s">
        <v>194</v>
      </c>
      <c r="D746">
        <v>2</v>
      </c>
      <c r="E746" t="s">
        <v>37</v>
      </c>
      <c r="F746" t="s">
        <v>38</v>
      </c>
      <c r="G746">
        <v>20</v>
      </c>
      <c r="H746">
        <v>35</v>
      </c>
      <c r="I746">
        <v>55</v>
      </c>
      <c r="J746">
        <f t="shared" si="33"/>
        <v>-15</v>
      </c>
      <c r="K746" t="s">
        <v>20</v>
      </c>
      <c r="L746">
        <f t="shared" si="34"/>
        <v>1</v>
      </c>
      <c r="M746">
        <v>6</v>
      </c>
      <c r="N746">
        <v>3</v>
      </c>
      <c r="O746">
        <f t="shared" si="35"/>
        <v>1</v>
      </c>
    </row>
    <row r="747" spans="1:15" x14ac:dyDescent="0.3">
      <c r="A747" t="s">
        <v>15</v>
      </c>
      <c r="B747" t="s">
        <v>193</v>
      </c>
      <c r="C747" t="s">
        <v>194</v>
      </c>
      <c r="D747">
        <v>1</v>
      </c>
      <c r="E747" t="s">
        <v>39</v>
      </c>
      <c r="F747" t="s">
        <v>40</v>
      </c>
      <c r="G747">
        <v>92</v>
      </c>
      <c r="H747">
        <v>0</v>
      </c>
      <c r="I747">
        <v>92</v>
      </c>
      <c r="J747">
        <f t="shared" si="33"/>
        <v>0</v>
      </c>
      <c r="K747" t="s">
        <v>20</v>
      </c>
      <c r="L747">
        <f t="shared" si="34"/>
        <v>1</v>
      </c>
      <c r="M747">
        <v>10</v>
      </c>
      <c r="N747">
        <v>1</v>
      </c>
      <c r="O747">
        <f t="shared" si="35"/>
        <v>0</v>
      </c>
    </row>
    <row r="748" spans="1:15" x14ac:dyDescent="0.3">
      <c r="A748" t="s">
        <v>15</v>
      </c>
      <c r="B748" t="s">
        <v>193</v>
      </c>
      <c r="C748" t="s">
        <v>194</v>
      </c>
      <c r="D748">
        <v>1</v>
      </c>
      <c r="E748" t="s">
        <v>41</v>
      </c>
      <c r="F748" t="s">
        <v>42</v>
      </c>
      <c r="G748">
        <v>21</v>
      </c>
      <c r="H748">
        <v>7</v>
      </c>
      <c r="I748">
        <v>28</v>
      </c>
      <c r="J748">
        <f t="shared" si="33"/>
        <v>14</v>
      </c>
      <c r="K748" t="s">
        <v>87</v>
      </c>
      <c r="L748">
        <f t="shared" si="34"/>
        <v>0</v>
      </c>
      <c r="M748">
        <v>0</v>
      </c>
      <c r="N748">
        <v>3</v>
      </c>
      <c r="O748">
        <f t="shared" si="35"/>
        <v>1</v>
      </c>
    </row>
    <row r="749" spans="1:15" x14ac:dyDescent="0.3">
      <c r="A749" t="s">
        <v>15</v>
      </c>
      <c r="B749" t="s">
        <v>193</v>
      </c>
      <c r="C749" t="s">
        <v>194</v>
      </c>
      <c r="D749">
        <v>1</v>
      </c>
      <c r="E749" t="s">
        <v>43</v>
      </c>
      <c r="F749" t="s">
        <v>44</v>
      </c>
      <c r="G749">
        <v>86</v>
      </c>
      <c r="H749">
        <v>0</v>
      </c>
      <c r="I749">
        <v>86</v>
      </c>
      <c r="J749">
        <f t="shared" si="33"/>
        <v>0</v>
      </c>
      <c r="K749" t="s">
        <v>20</v>
      </c>
      <c r="L749">
        <f t="shared" si="34"/>
        <v>1</v>
      </c>
      <c r="M749">
        <v>9</v>
      </c>
      <c r="N749">
        <v>1</v>
      </c>
      <c r="O749">
        <f t="shared" si="35"/>
        <v>0</v>
      </c>
    </row>
    <row r="750" spans="1:15" x14ac:dyDescent="0.3">
      <c r="A750" t="s">
        <v>15</v>
      </c>
      <c r="B750" t="s">
        <v>193</v>
      </c>
      <c r="C750" t="s">
        <v>194</v>
      </c>
      <c r="D750">
        <v>1</v>
      </c>
      <c r="E750" t="s">
        <v>45</v>
      </c>
      <c r="F750" t="s">
        <v>46</v>
      </c>
      <c r="G750">
        <v>28</v>
      </c>
      <c r="H750">
        <v>43</v>
      </c>
      <c r="I750">
        <v>71</v>
      </c>
      <c r="J750">
        <f t="shared" si="33"/>
        <v>-15</v>
      </c>
      <c r="K750" t="s">
        <v>20</v>
      </c>
      <c r="L750">
        <f t="shared" si="34"/>
        <v>1</v>
      </c>
      <c r="M750">
        <v>7</v>
      </c>
      <c r="N750">
        <v>1</v>
      </c>
      <c r="O750">
        <f t="shared" si="35"/>
        <v>1</v>
      </c>
    </row>
    <row r="751" spans="1:15" x14ac:dyDescent="0.3">
      <c r="A751" t="s">
        <v>15</v>
      </c>
      <c r="B751" t="s">
        <v>193</v>
      </c>
      <c r="C751" t="s">
        <v>194</v>
      </c>
      <c r="D751">
        <v>1</v>
      </c>
      <c r="E751" t="s">
        <v>65</v>
      </c>
      <c r="F751" t="s">
        <v>66</v>
      </c>
      <c r="G751">
        <v>77</v>
      </c>
      <c r="H751">
        <v>0</v>
      </c>
      <c r="I751">
        <v>77</v>
      </c>
      <c r="J751">
        <f t="shared" si="33"/>
        <v>0</v>
      </c>
      <c r="K751" t="s">
        <v>20</v>
      </c>
      <c r="L751">
        <f t="shared" si="34"/>
        <v>1</v>
      </c>
      <c r="M751">
        <v>8</v>
      </c>
      <c r="N751">
        <v>1</v>
      </c>
      <c r="O751">
        <f t="shared" si="35"/>
        <v>0</v>
      </c>
    </row>
    <row r="752" spans="1:15" x14ac:dyDescent="0.3">
      <c r="A752" t="s">
        <v>15</v>
      </c>
      <c r="B752" t="s">
        <v>193</v>
      </c>
      <c r="C752" t="s">
        <v>194</v>
      </c>
      <c r="D752">
        <v>1</v>
      </c>
      <c r="E752" t="s">
        <v>49</v>
      </c>
      <c r="F752" t="s">
        <v>50</v>
      </c>
      <c r="G752">
        <v>80</v>
      </c>
      <c r="H752">
        <v>0</v>
      </c>
      <c r="I752">
        <v>80</v>
      </c>
      <c r="J752">
        <f t="shared" si="33"/>
        <v>0</v>
      </c>
      <c r="K752" t="s">
        <v>20</v>
      </c>
      <c r="L752">
        <f t="shared" si="34"/>
        <v>1</v>
      </c>
      <c r="M752">
        <v>8</v>
      </c>
      <c r="N752">
        <v>1</v>
      </c>
      <c r="O752">
        <f t="shared" si="35"/>
        <v>0</v>
      </c>
    </row>
    <row r="753" spans="1:15" x14ac:dyDescent="0.3">
      <c r="A753" t="s">
        <v>15</v>
      </c>
      <c r="B753" t="s">
        <v>193</v>
      </c>
      <c r="C753" t="s">
        <v>194</v>
      </c>
      <c r="D753">
        <v>1</v>
      </c>
      <c r="E753" t="s">
        <v>51</v>
      </c>
      <c r="F753" t="s">
        <v>52</v>
      </c>
      <c r="G753">
        <v>88</v>
      </c>
      <c r="H753">
        <v>0</v>
      </c>
      <c r="I753">
        <v>88</v>
      </c>
      <c r="J753">
        <f t="shared" si="33"/>
        <v>0</v>
      </c>
      <c r="K753" t="s">
        <v>20</v>
      </c>
      <c r="L753">
        <f t="shared" si="34"/>
        <v>1</v>
      </c>
      <c r="M753">
        <v>9</v>
      </c>
      <c r="N753">
        <v>1</v>
      </c>
      <c r="O753">
        <f t="shared" si="35"/>
        <v>0</v>
      </c>
    </row>
    <row r="754" spans="1:15" x14ac:dyDescent="0.3">
      <c r="A754" t="s">
        <v>15</v>
      </c>
      <c r="B754" t="s">
        <v>193</v>
      </c>
      <c r="C754" t="s">
        <v>194</v>
      </c>
      <c r="D754">
        <v>1</v>
      </c>
      <c r="E754" t="s">
        <v>53</v>
      </c>
      <c r="F754" t="s">
        <v>54</v>
      </c>
      <c r="G754">
        <v>36</v>
      </c>
      <c r="H754">
        <v>29</v>
      </c>
      <c r="I754">
        <v>65</v>
      </c>
      <c r="J754">
        <f t="shared" si="33"/>
        <v>7</v>
      </c>
      <c r="K754" t="s">
        <v>20</v>
      </c>
      <c r="L754">
        <f t="shared" si="34"/>
        <v>1</v>
      </c>
      <c r="M754">
        <v>7</v>
      </c>
      <c r="N754">
        <v>4</v>
      </c>
      <c r="O754">
        <f t="shared" si="35"/>
        <v>1</v>
      </c>
    </row>
    <row r="755" spans="1:15" x14ac:dyDescent="0.3">
      <c r="A755" t="s">
        <v>15</v>
      </c>
      <c r="B755" t="s">
        <v>193</v>
      </c>
      <c r="C755" t="s">
        <v>194</v>
      </c>
      <c r="D755">
        <v>1</v>
      </c>
      <c r="E755" t="s">
        <v>55</v>
      </c>
      <c r="F755" t="s">
        <v>56</v>
      </c>
      <c r="G755">
        <v>35</v>
      </c>
      <c r="H755">
        <v>35</v>
      </c>
      <c r="I755">
        <v>70</v>
      </c>
      <c r="J755">
        <f t="shared" si="33"/>
        <v>0</v>
      </c>
      <c r="K755" t="s">
        <v>20</v>
      </c>
      <c r="L755">
        <f t="shared" si="34"/>
        <v>1</v>
      </c>
      <c r="M755">
        <v>7</v>
      </c>
      <c r="N755">
        <v>3</v>
      </c>
      <c r="O755">
        <f t="shared" si="35"/>
        <v>1</v>
      </c>
    </row>
    <row r="756" spans="1:15" x14ac:dyDescent="0.3">
      <c r="A756" t="s">
        <v>15</v>
      </c>
      <c r="B756" t="s">
        <v>193</v>
      </c>
      <c r="C756" t="s">
        <v>194</v>
      </c>
      <c r="D756">
        <v>1</v>
      </c>
      <c r="E756" t="s">
        <v>57</v>
      </c>
      <c r="F756" t="s">
        <v>58</v>
      </c>
      <c r="G756">
        <v>33</v>
      </c>
      <c r="H756">
        <v>35</v>
      </c>
      <c r="I756">
        <v>68</v>
      </c>
      <c r="J756">
        <f t="shared" si="33"/>
        <v>-2</v>
      </c>
      <c r="K756" t="s">
        <v>20</v>
      </c>
      <c r="L756">
        <f t="shared" si="34"/>
        <v>1</v>
      </c>
      <c r="M756">
        <v>8</v>
      </c>
      <c r="N756">
        <v>4</v>
      </c>
      <c r="O756">
        <f t="shared" si="35"/>
        <v>1</v>
      </c>
    </row>
    <row r="757" spans="1:15" x14ac:dyDescent="0.3">
      <c r="A757" t="s">
        <v>15</v>
      </c>
      <c r="B757" t="s">
        <v>195</v>
      </c>
      <c r="C757" t="s">
        <v>196</v>
      </c>
      <c r="D757">
        <v>2</v>
      </c>
      <c r="E757" t="s">
        <v>18</v>
      </c>
      <c r="F757" t="s">
        <v>19</v>
      </c>
      <c r="G757">
        <v>45</v>
      </c>
      <c r="H757">
        <v>37</v>
      </c>
      <c r="I757">
        <v>82</v>
      </c>
      <c r="J757">
        <f t="shared" si="33"/>
        <v>8</v>
      </c>
      <c r="K757" t="s">
        <v>20</v>
      </c>
      <c r="L757">
        <f t="shared" si="34"/>
        <v>1</v>
      </c>
      <c r="M757">
        <v>8</v>
      </c>
      <c r="N757">
        <v>4</v>
      </c>
      <c r="O757">
        <f t="shared" si="35"/>
        <v>1</v>
      </c>
    </row>
    <row r="758" spans="1:15" x14ac:dyDescent="0.3">
      <c r="A758" t="s">
        <v>15</v>
      </c>
      <c r="B758" t="s">
        <v>195</v>
      </c>
      <c r="C758" t="s">
        <v>196</v>
      </c>
      <c r="D758">
        <v>2</v>
      </c>
      <c r="E758" t="s">
        <v>21</v>
      </c>
      <c r="F758" t="s">
        <v>22</v>
      </c>
      <c r="G758">
        <v>42</v>
      </c>
      <c r="H758">
        <v>34</v>
      </c>
      <c r="I758">
        <v>76</v>
      </c>
      <c r="J758">
        <f t="shared" si="33"/>
        <v>8</v>
      </c>
      <c r="K758" t="s">
        <v>20</v>
      </c>
      <c r="L758">
        <f t="shared" si="34"/>
        <v>1</v>
      </c>
      <c r="M758">
        <v>8</v>
      </c>
      <c r="N758">
        <v>4</v>
      </c>
      <c r="O758">
        <f t="shared" si="35"/>
        <v>1</v>
      </c>
    </row>
    <row r="759" spans="1:15" x14ac:dyDescent="0.3">
      <c r="A759" t="s">
        <v>15</v>
      </c>
      <c r="B759" t="s">
        <v>195</v>
      </c>
      <c r="C759" t="s">
        <v>196</v>
      </c>
      <c r="D759">
        <v>2</v>
      </c>
      <c r="E759" t="s">
        <v>41</v>
      </c>
      <c r="F759" t="s">
        <v>42</v>
      </c>
      <c r="G759">
        <v>28</v>
      </c>
      <c r="H759">
        <v>38</v>
      </c>
      <c r="I759">
        <v>66</v>
      </c>
      <c r="J759">
        <f t="shared" si="33"/>
        <v>-10</v>
      </c>
      <c r="K759" t="s">
        <v>20</v>
      </c>
      <c r="L759">
        <f t="shared" si="34"/>
        <v>1</v>
      </c>
      <c r="M759">
        <v>8</v>
      </c>
      <c r="N759">
        <v>3</v>
      </c>
      <c r="O759">
        <f t="shared" si="35"/>
        <v>1</v>
      </c>
    </row>
    <row r="760" spans="1:15" x14ac:dyDescent="0.3">
      <c r="A760" t="s">
        <v>15</v>
      </c>
      <c r="B760" t="s">
        <v>195</v>
      </c>
      <c r="C760" t="s">
        <v>196</v>
      </c>
      <c r="D760">
        <v>2</v>
      </c>
      <c r="E760" t="s">
        <v>23</v>
      </c>
      <c r="F760" t="s">
        <v>24</v>
      </c>
      <c r="G760">
        <v>85</v>
      </c>
      <c r="H760">
        <v>0</v>
      </c>
      <c r="I760">
        <v>85</v>
      </c>
      <c r="J760">
        <f t="shared" si="33"/>
        <v>0</v>
      </c>
      <c r="K760" t="s">
        <v>20</v>
      </c>
      <c r="L760">
        <f t="shared" si="34"/>
        <v>1</v>
      </c>
      <c r="M760">
        <v>9</v>
      </c>
      <c r="N760">
        <v>1</v>
      </c>
      <c r="O760">
        <f t="shared" si="35"/>
        <v>0</v>
      </c>
    </row>
    <row r="761" spans="1:15" x14ac:dyDescent="0.3">
      <c r="A761" t="s">
        <v>15</v>
      </c>
      <c r="B761" t="s">
        <v>195</v>
      </c>
      <c r="C761" t="s">
        <v>196</v>
      </c>
      <c r="D761">
        <v>2</v>
      </c>
      <c r="E761" t="s">
        <v>25</v>
      </c>
      <c r="F761" t="s">
        <v>26</v>
      </c>
      <c r="G761">
        <v>39</v>
      </c>
      <c r="H761">
        <v>32</v>
      </c>
      <c r="I761">
        <v>71</v>
      </c>
      <c r="J761">
        <f t="shared" si="33"/>
        <v>7</v>
      </c>
      <c r="K761" t="s">
        <v>20</v>
      </c>
      <c r="L761">
        <f t="shared" si="34"/>
        <v>1</v>
      </c>
      <c r="M761">
        <v>7</v>
      </c>
      <c r="N761">
        <v>1</v>
      </c>
      <c r="O761">
        <f t="shared" si="35"/>
        <v>1</v>
      </c>
    </row>
    <row r="762" spans="1:15" x14ac:dyDescent="0.3">
      <c r="A762" t="s">
        <v>15</v>
      </c>
      <c r="B762" t="s">
        <v>195</v>
      </c>
      <c r="C762" t="s">
        <v>196</v>
      </c>
      <c r="D762">
        <v>2</v>
      </c>
      <c r="E762" t="s">
        <v>27</v>
      </c>
      <c r="F762" t="s">
        <v>28</v>
      </c>
      <c r="G762">
        <v>33</v>
      </c>
      <c r="H762">
        <v>37</v>
      </c>
      <c r="I762">
        <v>70</v>
      </c>
      <c r="J762">
        <f t="shared" si="33"/>
        <v>-4</v>
      </c>
      <c r="K762" t="s">
        <v>20</v>
      </c>
      <c r="L762">
        <f t="shared" si="34"/>
        <v>1</v>
      </c>
      <c r="M762">
        <v>7</v>
      </c>
      <c r="N762">
        <v>2</v>
      </c>
      <c r="O762">
        <f t="shared" si="35"/>
        <v>1</v>
      </c>
    </row>
    <row r="763" spans="1:15" x14ac:dyDescent="0.3">
      <c r="A763" t="s">
        <v>15</v>
      </c>
      <c r="B763" t="s">
        <v>195</v>
      </c>
      <c r="C763" t="s">
        <v>196</v>
      </c>
      <c r="D763">
        <v>2</v>
      </c>
      <c r="E763" t="s">
        <v>109</v>
      </c>
      <c r="F763" t="s">
        <v>110</v>
      </c>
      <c r="G763">
        <v>92</v>
      </c>
      <c r="H763">
        <v>0</v>
      </c>
      <c r="I763">
        <v>92</v>
      </c>
      <c r="J763">
        <f t="shared" si="33"/>
        <v>0</v>
      </c>
      <c r="K763" t="s">
        <v>20</v>
      </c>
      <c r="L763">
        <f t="shared" si="34"/>
        <v>1</v>
      </c>
      <c r="M763">
        <v>10</v>
      </c>
      <c r="N763">
        <v>1</v>
      </c>
      <c r="O763">
        <f t="shared" si="35"/>
        <v>0</v>
      </c>
    </row>
    <row r="764" spans="1:15" x14ac:dyDescent="0.3">
      <c r="A764" t="s">
        <v>15</v>
      </c>
      <c r="B764" t="s">
        <v>195</v>
      </c>
      <c r="C764" t="s">
        <v>196</v>
      </c>
      <c r="D764">
        <v>2</v>
      </c>
      <c r="E764" t="s">
        <v>31</v>
      </c>
      <c r="F764" t="s">
        <v>32</v>
      </c>
      <c r="G764">
        <v>94</v>
      </c>
      <c r="H764">
        <v>0</v>
      </c>
      <c r="I764">
        <v>94</v>
      </c>
      <c r="J764">
        <f t="shared" si="33"/>
        <v>0</v>
      </c>
      <c r="K764" t="s">
        <v>20</v>
      </c>
      <c r="L764">
        <f t="shared" si="34"/>
        <v>1</v>
      </c>
      <c r="M764">
        <v>10</v>
      </c>
      <c r="N764">
        <v>1</v>
      </c>
      <c r="O764">
        <f t="shared" si="35"/>
        <v>0</v>
      </c>
    </row>
    <row r="765" spans="1:15" x14ac:dyDescent="0.3">
      <c r="A765" t="s">
        <v>15</v>
      </c>
      <c r="B765" t="s">
        <v>195</v>
      </c>
      <c r="C765" t="s">
        <v>196</v>
      </c>
      <c r="D765">
        <v>2</v>
      </c>
      <c r="E765" t="s">
        <v>33</v>
      </c>
      <c r="F765" t="s">
        <v>34</v>
      </c>
      <c r="G765">
        <v>42</v>
      </c>
      <c r="H765">
        <v>27</v>
      </c>
      <c r="I765">
        <v>69</v>
      </c>
      <c r="J765">
        <f t="shared" si="33"/>
        <v>15</v>
      </c>
      <c r="K765" t="s">
        <v>20</v>
      </c>
      <c r="L765">
        <f t="shared" si="34"/>
        <v>1</v>
      </c>
      <c r="M765">
        <v>8</v>
      </c>
      <c r="N765">
        <v>4</v>
      </c>
      <c r="O765">
        <f t="shared" si="35"/>
        <v>1</v>
      </c>
    </row>
    <row r="766" spans="1:15" x14ac:dyDescent="0.3">
      <c r="A766" t="s">
        <v>15</v>
      </c>
      <c r="B766" t="s">
        <v>195</v>
      </c>
      <c r="C766" t="s">
        <v>196</v>
      </c>
      <c r="D766">
        <v>2</v>
      </c>
      <c r="E766" t="s">
        <v>35</v>
      </c>
      <c r="F766" t="s">
        <v>36</v>
      </c>
      <c r="G766">
        <v>28</v>
      </c>
      <c r="H766">
        <v>41</v>
      </c>
      <c r="I766">
        <v>69</v>
      </c>
      <c r="J766">
        <f t="shared" si="33"/>
        <v>-13</v>
      </c>
      <c r="K766" t="s">
        <v>20</v>
      </c>
      <c r="L766">
        <f t="shared" si="34"/>
        <v>1</v>
      </c>
      <c r="M766">
        <v>7</v>
      </c>
      <c r="N766">
        <v>3</v>
      </c>
      <c r="O766">
        <f t="shared" si="35"/>
        <v>1</v>
      </c>
    </row>
    <row r="767" spans="1:15" x14ac:dyDescent="0.3">
      <c r="A767" t="s">
        <v>15</v>
      </c>
      <c r="B767" t="s">
        <v>195</v>
      </c>
      <c r="C767" t="s">
        <v>196</v>
      </c>
      <c r="D767">
        <v>2</v>
      </c>
      <c r="E767" t="s">
        <v>37</v>
      </c>
      <c r="F767" t="s">
        <v>38</v>
      </c>
      <c r="G767">
        <v>31</v>
      </c>
      <c r="H767">
        <v>37</v>
      </c>
      <c r="I767">
        <v>68</v>
      </c>
      <c r="J767">
        <f t="shared" si="33"/>
        <v>-6</v>
      </c>
      <c r="K767" t="s">
        <v>20</v>
      </c>
      <c r="L767">
        <f t="shared" si="34"/>
        <v>1</v>
      </c>
      <c r="M767">
        <v>7</v>
      </c>
      <c r="N767">
        <v>3</v>
      </c>
      <c r="O767">
        <f t="shared" si="35"/>
        <v>1</v>
      </c>
    </row>
    <row r="768" spans="1:15" x14ac:dyDescent="0.3">
      <c r="A768" t="s">
        <v>15</v>
      </c>
      <c r="B768" t="s">
        <v>195</v>
      </c>
      <c r="C768" t="s">
        <v>196</v>
      </c>
      <c r="D768">
        <v>1</v>
      </c>
      <c r="E768" t="s">
        <v>39</v>
      </c>
      <c r="F768" t="s">
        <v>40</v>
      </c>
      <c r="G768">
        <v>71</v>
      </c>
      <c r="H768">
        <v>0</v>
      </c>
      <c r="I768">
        <v>71</v>
      </c>
      <c r="J768">
        <f t="shared" si="33"/>
        <v>0</v>
      </c>
      <c r="K768" t="s">
        <v>20</v>
      </c>
      <c r="L768">
        <f t="shared" si="34"/>
        <v>1</v>
      </c>
      <c r="M768">
        <v>8</v>
      </c>
      <c r="N768">
        <v>1</v>
      </c>
      <c r="O768">
        <f t="shared" si="35"/>
        <v>0</v>
      </c>
    </row>
    <row r="769" spans="1:15" x14ac:dyDescent="0.3">
      <c r="A769" t="s">
        <v>15</v>
      </c>
      <c r="B769" t="s">
        <v>195</v>
      </c>
      <c r="C769" t="s">
        <v>196</v>
      </c>
      <c r="D769">
        <v>1</v>
      </c>
      <c r="E769" t="s">
        <v>41</v>
      </c>
      <c r="F769" t="s">
        <v>42</v>
      </c>
      <c r="G769">
        <v>28</v>
      </c>
      <c r="H769">
        <v>16</v>
      </c>
      <c r="I769">
        <v>44</v>
      </c>
      <c r="J769">
        <f t="shared" si="33"/>
        <v>12</v>
      </c>
      <c r="K769" t="s">
        <v>87</v>
      </c>
      <c r="L769">
        <f t="shared" si="34"/>
        <v>0</v>
      </c>
      <c r="M769">
        <v>0</v>
      </c>
      <c r="N769">
        <v>3</v>
      </c>
      <c r="O769">
        <f t="shared" si="35"/>
        <v>1</v>
      </c>
    </row>
    <row r="770" spans="1:15" x14ac:dyDescent="0.3">
      <c r="A770" t="s">
        <v>15</v>
      </c>
      <c r="B770" t="s">
        <v>195</v>
      </c>
      <c r="C770" t="s">
        <v>196</v>
      </c>
      <c r="D770">
        <v>1</v>
      </c>
      <c r="E770" t="s">
        <v>43</v>
      </c>
      <c r="F770" t="s">
        <v>44</v>
      </c>
      <c r="G770">
        <v>90</v>
      </c>
      <c r="H770">
        <v>0</v>
      </c>
      <c r="I770">
        <v>90</v>
      </c>
      <c r="J770">
        <f t="shared" ref="J770:J833" si="36">IF(H770=0,0,G770-H770)</f>
        <v>0</v>
      </c>
      <c r="K770" t="s">
        <v>20</v>
      </c>
      <c r="L770">
        <f t="shared" ref="L770:L833" si="37">IF(K770="Pass",1,0)</f>
        <v>1</v>
      </c>
      <c r="M770">
        <v>9</v>
      </c>
      <c r="N770">
        <v>1</v>
      </c>
      <c r="O770">
        <f t="shared" ref="O770:O833" si="38">IF(H770=0,0,1)</f>
        <v>0</v>
      </c>
    </row>
    <row r="771" spans="1:15" x14ac:dyDescent="0.3">
      <c r="A771" t="s">
        <v>15</v>
      </c>
      <c r="B771" t="s">
        <v>195</v>
      </c>
      <c r="C771" t="s">
        <v>196</v>
      </c>
      <c r="D771">
        <v>1</v>
      </c>
      <c r="E771" t="s">
        <v>45</v>
      </c>
      <c r="F771" t="s">
        <v>46</v>
      </c>
      <c r="G771">
        <v>30</v>
      </c>
      <c r="H771">
        <v>42</v>
      </c>
      <c r="I771">
        <v>72</v>
      </c>
      <c r="J771">
        <f t="shared" si="36"/>
        <v>-12</v>
      </c>
      <c r="K771" t="s">
        <v>20</v>
      </c>
      <c r="L771">
        <f t="shared" si="37"/>
        <v>1</v>
      </c>
      <c r="M771">
        <v>7</v>
      </c>
      <c r="N771">
        <v>1</v>
      </c>
      <c r="O771">
        <f t="shared" si="38"/>
        <v>1</v>
      </c>
    </row>
    <row r="772" spans="1:15" x14ac:dyDescent="0.3">
      <c r="A772" t="s">
        <v>15</v>
      </c>
      <c r="B772" t="s">
        <v>195</v>
      </c>
      <c r="C772" t="s">
        <v>196</v>
      </c>
      <c r="D772">
        <v>1</v>
      </c>
      <c r="E772" t="s">
        <v>83</v>
      </c>
      <c r="F772" t="s">
        <v>84</v>
      </c>
      <c r="G772">
        <v>59</v>
      </c>
      <c r="H772">
        <v>39</v>
      </c>
      <c r="I772">
        <v>98</v>
      </c>
      <c r="J772">
        <f t="shared" si="36"/>
        <v>20</v>
      </c>
      <c r="K772" t="s">
        <v>20</v>
      </c>
      <c r="L772">
        <f t="shared" si="37"/>
        <v>1</v>
      </c>
      <c r="M772">
        <v>10</v>
      </c>
      <c r="N772">
        <v>3</v>
      </c>
      <c r="O772">
        <f t="shared" si="38"/>
        <v>1</v>
      </c>
    </row>
    <row r="773" spans="1:15" x14ac:dyDescent="0.3">
      <c r="A773" t="s">
        <v>15</v>
      </c>
      <c r="B773" t="s">
        <v>195</v>
      </c>
      <c r="C773" t="s">
        <v>196</v>
      </c>
      <c r="D773">
        <v>1</v>
      </c>
      <c r="E773" t="s">
        <v>53</v>
      </c>
      <c r="F773" t="s">
        <v>54</v>
      </c>
      <c r="G773">
        <v>45</v>
      </c>
      <c r="H773">
        <v>41</v>
      </c>
      <c r="I773">
        <v>86</v>
      </c>
      <c r="J773">
        <f t="shared" si="36"/>
        <v>4</v>
      </c>
      <c r="K773" t="s">
        <v>20</v>
      </c>
      <c r="L773">
        <f t="shared" si="37"/>
        <v>1</v>
      </c>
      <c r="M773">
        <v>8</v>
      </c>
      <c r="N773">
        <v>4</v>
      </c>
      <c r="O773">
        <f t="shared" si="38"/>
        <v>1</v>
      </c>
    </row>
    <row r="774" spans="1:15" x14ac:dyDescent="0.3">
      <c r="A774" t="s">
        <v>15</v>
      </c>
      <c r="B774" t="s">
        <v>195</v>
      </c>
      <c r="C774" t="s">
        <v>196</v>
      </c>
      <c r="D774">
        <v>1</v>
      </c>
      <c r="E774" t="s">
        <v>55</v>
      </c>
      <c r="F774" t="s">
        <v>56</v>
      </c>
      <c r="G774">
        <v>43</v>
      </c>
      <c r="H774">
        <v>44</v>
      </c>
      <c r="I774">
        <v>87</v>
      </c>
      <c r="J774">
        <f t="shared" si="36"/>
        <v>-1</v>
      </c>
      <c r="K774" t="s">
        <v>20</v>
      </c>
      <c r="L774">
        <f t="shared" si="37"/>
        <v>1</v>
      </c>
      <c r="M774">
        <v>8</v>
      </c>
      <c r="N774">
        <v>3</v>
      </c>
      <c r="O774">
        <f t="shared" si="38"/>
        <v>1</v>
      </c>
    </row>
    <row r="775" spans="1:15" x14ac:dyDescent="0.3">
      <c r="A775" t="s">
        <v>15</v>
      </c>
      <c r="B775" t="s">
        <v>195</v>
      </c>
      <c r="C775" t="s">
        <v>196</v>
      </c>
      <c r="D775">
        <v>1</v>
      </c>
      <c r="E775" t="s">
        <v>57</v>
      </c>
      <c r="F775" t="s">
        <v>58</v>
      </c>
      <c r="G775">
        <v>41</v>
      </c>
      <c r="H775">
        <v>38</v>
      </c>
      <c r="I775">
        <v>79</v>
      </c>
      <c r="J775">
        <f t="shared" si="36"/>
        <v>3</v>
      </c>
      <c r="K775" t="s">
        <v>20</v>
      </c>
      <c r="L775">
        <f t="shared" si="37"/>
        <v>1</v>
      </c>
      <c r="M775">
        <v>8</v>
      </c>
      <c r="N775">
        <v>4</v>
      </c>
      <c r="O775">
        <f t="shared" si="38"/>
        <v>1</v>
      </c>
    </row>
    <row r="776" spans="1:15" x14ac:dyDescent="0.3">
      <c r="A776" t="s">
        <v>15</v>
      </c>
      <c r="B776" t="s">
        <v>197</v>
      </c>
      <c r="C776" t="s">
        <v>198</v>
      </c>
      <c r="D776">
        <v>2</v>
      </c>
      <c r="E776" t="s">
        <v>33</v>
      </c>
      <c r="F776" t="s">
        <v>34</v>
      </c>
      <c r="G776">
        <v>29</v>
      </c>
      <c r="H776">
        <v>8</v>
      </c>
      <c r="I776">
        <v>37</v>
      </c>
      <c r="J776">
        <f t="shared" si="36"/>
        <v>21</v>
      </c>
      <c r="K776" t="s">
        <v>87</v>
      </c>
      <c r="L776">
        <f t="shared" si="37"/>
        <v>0</v>
      </c>
      <c r="M776">
        <v>0</v>
      </c>
      <c r="N776">
        <v>4</v>
      </c>
      <c r="O776">
        <f t="shared" si="38"/>
        <v>1</v>
      </c>
    </row>
    <row r="777" spans="1:15" x14ac:dyDescent="0.3">
      <c r="A777" t="s">
        <v>15</v>
      </c>
      <c r="B777" t="s">
        <v>197</v>
      </c>
      <c r="C777" t="s">
        <v>198</v>
      </c>
      <c r="D777">
        <v>2</v>
      </c>
      <c r="E777" t="s">
        <v>35</v>
      </c>
      <c r="F777" t="s">
        <v>36</v>
      </c>
      <c r="G777">
        <v>18</v>
      </c>
      <c r="H777">
        <v>17</v>
      </c>
      <c r="I777">
        <v>35</v>
      </c>
      <c r="J777">
        <f t="shared" si="36"/>
        <v>1</v>
      </c>
      <c r="K777" t="s">
        <v>87</v>
      </c>
      <c r="L777">
        <f t="shared" si="37"/>
        <v>0</v>
      </c>
      <c r="M777">
        <v>0</v>
      </c>
      <c r="N777">
        <v>3</v>
      </c>
      <c r="O777">
        <f t="shared" si="38"/>
        <v>1</v>
      </c>
    </row>
    <row r="778" spans="1:15" x14ac:dyDescent="0.3">
      <c r="A778" t="s">
        <v>15</v>
      </c>
      <c r="B778" t="s">
        <v>197</v>
      </c>
      <c r="C778" t="s">
        <v>198</v>
      </c>
      <c r="D778">
        <v>2</v>
      </c>
      <c r="E778" t="s">
        <v>18</v>
      </c>
      <c r="F778" t="s">
        <v>19</v>
      </c>
      <c r="G778">
        <v>43</v>
      </c>
      <c r="H778">
        <v>31</v>
      </c>
      <c r="I778">
        <v>74</v>
      </c>
      <c r="J778">
        <f t="shared" si="36"/>
        <v>12</v>
      </c>
      <c r="K778" t="s">
        <v>20</v>
      </c>
      <c r="L778">
        <f t="shared" si="37"/>
        <v>1</v>
      </c>
      <c r="M778">
        <v>8</v>
      </c>
      <c r="N778">
        <v>4</v>
      </c>
      <c r="O778">
        <f t="shared" si="38"/>
        <v>1</v>
      </c>
    </row>
    <row r="779" spans="1:15" x14ac:dyDescent="0.3">
      <c r="A779" t="s">
        <v>15</v>
      </c>
      <c r="B779" t="s">
        <v>197</v>
      </c>
      <c r="C779" t="s">
        <v>198</v>
      </c>
      <c r="D779">
        <v>2</v>
      </c>
      <c r="E779" t="s">
        <v>21</v>
      </c>
      <c r="F779" t="s">
        <v>22</v>
      </c>
      <c r="G779">
        <v>35</v>
      </c>
      <c r="H779">
        <v>24</v>
      </c>
      <c r="I779">
        <v>59</v>
      </c>
      <c r="J779">
        <f t="shared" si="36"/>
        <v>11</v>
      </c>
      <c r="K779" t="s">
        <v>20</v>
      </c>
      <c r="L779">
        <f t="shared" si="37"/>
        <v>1</v>
      </c>
      <c r="M779">
        <v>6</v>
      </c>
      <c r="N779">
        <v>4</v>
      </c>
      <c r="O779">
        <f t="shared" si="38"/>
        <v>1</v>
      </c>
    </row>
    <row r="780" spans="1:15" x14ac:dyDescent="0.3">
      <c r="A780" t="s">
        <v>15</v>
      </c>
      <c r="B780" t="s">
        <v>197</v>
      </c>
      <c r="C780" t="s">
        <v>198</v>
      </c>
      <c r="D780">
        <v>2</v>
      </c>
      <c r="E780" t="s">
        <v>41</v>
      </c>
      <c r="F780" t="s">
        <v>42</v>
      </c>
      <c r="G780">
        <v>14</v>
      </c>
      <c r="H780">
        <v>15</v>
      </c>
      <c r="I780">
        <v>29</v>
      </c>
      <c r="J780">
        <f t="shared" si="36"/>
        <v>-1</v>
      </c>
      <c r="K780" t="s">
        <v>87</v>
      </c>
      <c r="L780">
        <f t="shared" si="37"/>
        <v>0</v>
      </c>
      <c r="M780">
        <v>0</v>
      </c>
      <c r="N780">
        <v>3</v>
      </c>
      <c r="O780">
        <f t="shared" si="38"/>
        <v>1</v>
      </c>
    </row>
    <row r="781" spans="1:15" x14ac:dyDescent="0.3">
      <c r="A781" t="s">
        <v>15</v>
      </c>
      <c r="B781" t="s">
        <v>197</v>
      </c>
      <c r="C781" t="s">
        <v>198</v>
      </c>
      <c r="D781">
        <v>2</v>
      </c>
      <c r="E781" t="s">
        <v>23</v>
      </c>
      <c r="F781" t="s">
        <v>24</v>
      </c>
      <c r="G781">
        <v>59</v>
      </c>
      <c r="H781">
        <v>0</v>
      </c>
      <c r="I781">
        <v>59</v>
      </c>
      <c r="J781">
        <f t="shared" si="36"/>
        <v>0</v>
      </c>
      <c r="K781" t="s">
        <v>20</v>
      </c>
      <c r="L781">
        <f t="shared" si="37"/>
        <v>1</v>
      </c>
      <c r="M781">
        <v>6</v>
      </c>
      <c r="N781">
        <v>1</v>
      </c>
      <c r="O781">
        <f t="shared" si="38"/>
        <v>0</v>
      </c>
    </row>
    <row r="782" spans="1:15" x14ac:dyDescent="0.3">
      <c r="A782" t="s">
        <v>15</v>
      </c>
      <c r="B782" t="s">
        <v>197</v>
      </c>
      <c r="C782" t="s">
        <v>198</v>
      </c>
      <c r="D782">
        <v>2</v>
      </c>
      <c r="E782" t="s">
        <v>25</v>
      </c>
      <c r="F782" t="s">
        <v>26</v>
      </c>
      <c r="G782">
        <v>33</v>
      </c>
      <c r="H782">
        <v>28</v>
      </c>
      <c r="I782">
        <v>61</v>
      </c>
      <c r="J782">
        <f t="shared" si="36"/>
        <v>5</v>
      </c>
      <c r="K782" t="s">
        <v>20</v>
      </c>
      <c r="L782">
        <f t="shared" si="37"/>
        <v>1</v>
      </c>
      <c r="M782">
        <v>6</v>
      </c>
      <c r="N782">
        <v>1</v>
      </c>
      <c r="O782">
        <f t="shared" si="38"/>
        <v>1</v>
      </c>
    </row>
    <row r="783" spans="1:15" x14ac:dyDescent="0.3">
      <c r="A783" t="s">
        <v>15</v>
      </c>
      <c r="B783" t="s">
        <v>197</v>
      </c>
      <c r="C783" t="s">
        <v>198</v>
      </c>
      <c r="D783">
        <v>2</v>
      </c>
      <c r="E783" t="s">
        <v>27</v>
      </c>
      <c r="F783" t="s">
        <v>28</v>
      </c>
      <c r="G783">
        <v>28</v>
      </c>
      <c r="H783">
        <v>31</v>
      </c>
      <c r="I783">
        <v>59</v>
      </c>
      <c r="J783">
        <f t="shared" si="36"/>
        <v>-3</v>
      </c>
      <c r="K783" t="s">
        <v>20</v>
      </c>
      <c r="L783">
        <f t="shared" si="37"/>
        <v>1</v>
      </c>
      <c r="M783">
        <v>6</v>
      </c>
      <c r="N783">
        <v>2</v>
      </c>
      <c r="O783">
        <f t="shared" si="38"/>
        <v>1</v>
      </c>
    </row>
    <row r="784" spans="1:15" x14ac:dyDescent="0.3">
      <c r="A784" t="s">
        <v>15</v>
      </c>
      <c r="B784" t="s">
        <v>197</v>
      </c>
      <c r="C784" t="s">
        <v>198</v>
      </c>
      <c r="D784">
        <v>2</v>
      </c>
      <c r="E784" t="s">
        <v>133</v>
      </c>
      <c r="F784" t="s">
        <v>134</v>
      </c>
      <c r="G784">
        <v>88</v>
      </c>
      <c r="H784">
        <v>0</v>
      </c>
      <c r="I784">
        <v>88</v>
      </c>
      <c r="J784">
        <f t="shared" si="36"/>
        <v>0</v>
      </c>
      <c r="K784" t="s">
        <v>20</v>
      </c>
      <c r="L784">
        <f t="shared" si="37"/>
        <v>1</v>
      </c>
      <c r="M784">
        <v>9</v>
      </c>
      <c r="N784">
        <v>1</v>
      </c>
      <c r="O784">
        <f t="shared" si="38"/>
        <v>0</v>
      </c>
    </row>
    <row r="785" spans="1:15" x14ac:dyDescent="0.3">
      <c r="A785" t="s">
        <v>15</v>
      </c>
      <c r="B785" t="s">
        <v>197</v>
      </c>
      <c r="C785" t="s">
        <v>198</v>
      </c>
      <c r="D785">
        <v>2</v>
      </c>
      <c r="E785" t="s">
        <v>31</v>
      </c>
      <c r="F785" t="s">
        <v>32</v>
      </c>
      <c r="G785">
        <v>94</v>
      </c>
      <c r="H785">
        <v>0</v>
      </c>
      <c r="I785">
        <v>94</v>
      </c>
      <c r="J785">
        <f t="shared" si="36"/>
        <v>0</v>
      </c>
      <c r="K785" t="s">
        <v>20</v>
      </c>
      <c r="L785">
        <f t="shared" si="37"/>
        <v>1</v>
      </c>
      <c r="M785">
        <v>10</v>
      </c>
      <c r="N785">
        <v>1</v>
      </c>
      <c r="O785">
        <f t="shared" si="38"/>
        <v>0</v>
      </c>
    </row>
    <row r="786" spans="1:15" x14ac:dyDescent="0.3">
      <c r="A786" t="s">
        <v>15</v>
      </c>
      <c r="B786" t="s">
        <v>197</v>
      </c>
      <c r="C786" t="s">
        <v>198</v>
      </c>
      <c r="D786">
        <v>2</v>
      </c>
      <c r="E786" t="s">
        <v>57</v>
      </c>
      <c r="F786" t="s">
        <v>58</v>
      </c>
      <c r="G786">
        <v>31</v>
      </c>
      <c r="H786">
        <v>15</v>
      </c>
      <c r="I786">
        <v>46</v>
      </c>
      <c r="J786">
        <f t="shared" si="36"/>
        <v>16</v>
      </c>
      <c r="K786" t="s">
        <v>87</v>
      </c>
      <c r="L786">
        <f t="shared" si="37"/>
        <v>0</v>
      </c>
      <c r="M786">
        <v>0</v>
      </c>
      <c r="N786">
        <v>4</v>
      </c>
      <c r="O786">
        <f t="shared" si="38"/>
        <v>1</v>
      </c>
    </row>
    <row r="787" spans="1:15" x14ac:dyDescent="0.3">
      <c r="A787" t="s">
        <v>15</v>
      </c>
      <c r="B787" t="s">
        <v>197</v>
      </c>
      <c r="C787" t="s">
        <v>198</v>
      </c>
      <c r="D787">
        <v>2</v>
      </c>
      <c r="E787" t="s">
        <v>37</v>
      </c>
      <c r="F787" t="s">
        <v>38</v>
      </c>
      <c r="G787">
        <v>24</v>
      </c>
      <c r="H787">
        <v>37</v>
      </c>
      <c r="I787">
        <v>61</v>
      </c>
      <c r="J787">
        <f t="shared" si="36"/>
        <v>-13</v>
      </c>
      <c r="K787" t="s">
        <v>20</v>
      </c>
      <c r="L787">
        <f t="shared" si="37"/>
        <v>1</v>
      </c>
      <c r="M787">
        <v>6</v>
      </c>
      <c r="N787">
        <v>3</v>
      </c>
      <c r="O787">
        <f t="shared" si="38"/>
        <v>1</v>
      </c>
    </row>
    <row r="788" spans="1:15" x14ac:dyDescent="0.3">
      <c r="A788" t="s">
        <v>15</v>
      </c>
      <c r="B788" t="s">
        <v>197</v>
      </c>
      <c r="C788" t="s">
        <v>198</v>
      </c>
      <c r="D788">
        <v>1</v>
      </c>
      <c r="E788" t="s">
        <v>39</v>
      </c>
      <c r="F788" t="s">
        <v>40</v>
      </c>
      <c r="G788">
        <v>96</v>
      </c>
      <c r="H788">
        <v>0</v>
      </c>
      <c r="I788">
        <v>96</v>
      </c>
      <c r="J788">
        <f t="shared" si="36"/>
        <v>0</v>
      </c>
      <c r="K788" t="s">
        <v>20</v>
      </c>
      <c r="L788">
        <f t="shared" si="37"/>
        <v>1</v>
      </c>
      <c r="M788">
        <v>10</v>
      </c>
      <c r="N788">
        <v>1</v>
      </c>
      <c r="O788">
        <f t="shared" si="38"/>
        <v>0</v>
      </c>
    </row>
    <row r="789" spans="1:15" x14ac:dyDescent="0.3">
      <c r="A789" t="s">
        <v>15</v>
      </c>
      <c r="B789" t="s">
        <v>197</v>
      </c>
      <c r="C789" t="s">
        <v>198</v>
      </c>
      <c r="D789">
        <v>1</v>
      </c>
      <c r="E789" t="s">
        <v>41</v>
      </c>
      <c r="F789" t="s">
        <v>42</v>
      </c>
      <c r="G789">
        <v>14</v>
      </c>
      <c r="H789">
        <v>4</v>
      </c>
      <c r="I789">
        <v>18</v>
      </c>
      <c r="J789">
        <f t="shared" si="36"/>
        <v>10</v>
      </c>
      <c r="K789" t="s">
        <v>87</v>
      </c>
      <c r="L789">
        <f t="shared" si="37"/>
        <v>0</v>
      </c>
      <c r="M789">
        <v>0</v>
      </c>
      <c r="N789">
        <v>3</v>
      </c>
      <c r="O789">
        <f t="shared" si="38"/>
        <v>1</v>
      </c>
    </row>
    <row r="790" spans="1:15" x14ac:dyDescent="0.3">
      <c r="A790" t="s">
        <v>15</v>
      </c>
      <c r="B790" t="s">
        <v>197</v>
      </c>
      <c r="C790" t="s">
        <v>198</v>
      </c>
      <c r="D790">
        <v>1</v>
      </c>
      <c r="E790" t="s">
        <v>43</v>
      </c>
      <c r="F790" t="s">
        <v>44</v>
      </c>
      <c r="G790">
        <v>79</v>
      </c>
      <c r="H790">
        <v>0</v>
      </c>
      <c r="I790">
        <v>79</v>
      </c>
      <c r="J790">
        <f t="shared" si="36"/>
        <v>0</v>
      </c>
      <c r="K790" t="s">
        <v>20</v>
      </c>
      <c r="L790">
        <f t="shared" si="37"/>
        <v>1</v>
      </c>
      <c r="M790">
        <v>8</v>
      </c>
      <c r="N790">
        <v>1</v>
      </c>
      <c r="O790">
        <f t="shared" si="38"/>
        <v>0</v>
      </c>
    </row>
    <row r="791" spans="1:15" x14ac:dyDescent="0.3">
      <c r="A791" t="s">
        <v>15</v>
      </c>
      <c r="B791" t="s">
        <v>197</v>
      </c>
      <c r="C791" t="s">
        <v>198</v>
      </c>
      <c r="D791">
        <v>1</v>
      </c>
      <c r="E791" t="s">
        <v>45</v>
      </c>
      <c r="F791" t="s">
        <v>46</v>
      </c>
      <c r="G791">
        <v>25</v>
      </c>
      <c r="H791">
        <v>34</v>
      </c>
      <c r="I791">
        <v>59</v>
      </c>
      <c r="J791">
        <f t="shared" si="36"/>
        <v>-9</v>
      </c>
      <c r="K791" t="s">
        <v>20</v>
      </c>
      <c r="L791">
        <f t="shared" si="37"/>
        <v>1</v>
      </c>
      <c r="M791">
        <v>6</v>
      </c>
      <c r="N791">
        <v>1</v>
      </c>
      <c r="O791">
        <f t="shared" si="38"/>
        <v>1</v>
      </c>
    </row>
    <row r="792" spans="1:15" x14ac:dyDescent="0.3">
      <c r="A792" t="s">
        <v>15</v>
      </c>
      <c r="B792" t="s">
        <v>197</v>
      </c>
      <c r="C792" t="s">
        <v>198</v>
      </c>
      <c r="D792">
        <v>1</v>
      </c>
      <c r="E792" t="s">
        <v>199</v>
      </c>
      <c r="F792" t="s">
        <v>200</v>
      </c>
      <c r="G792">
        <v>91</v>
      </c>
      <c r="H792">
        <v>0</v>
      </c>
      <c r="I792">
        <v>91</v>
      </c>
      <c r="J792">
        <f t="shared" si="36"/>
        <v>0</v>
      </c>
      <c r="K792" t="s">
        <v>20</v>
      </c>
      <c r="L792">
        <f t="shared" si="37"/>
        <v>1</v>
      </c>
      <c r="M792">
        <v>10</v>
      </c>
      <c r="N792">
        <v>1</v>
      </c>
      <c r="O792">
        <f t="shared" si="38"/>
        <v>0</v>
      </c>
    </row>
    <row r="793" spans="1:15" x14ac:dyDescent="0.3">
      <c r="A793" t="s">
        <v>15</v>
      </c>
      <c r="B793" t="s">
        <v>197</v>
      </c>
      <c r="C793" t="s">
        <v>198</v>
      </c>
      <c r="D793">
        <v>1</v>
      </c>
      <c r="E793" t="s">
        <v>49</v>
      </c>
      <c r="F793" t="s">
        <v>50</v>
      </c>
      <c r="G793">
        <v>85</v>
      </c>
      <c r="H793">
        <v>0</v>
      </c>
      <c r="I793">
        <v>85</v>
      </c>
      <c r="J793">
        <f t="shared" si="36"/>
        <v>0</v>
      </c>
      <c r="K793" t="s">
        <v>20</v>
      </c>
      <c r="L793">
        <f t="shared" si="37"/>
        <v>1</v>
      </c>
      <c r="M793">
        <v>9</v>
      </c>
      <c r="N793">
        <v>1</v>
      </c>
      <c r="O793">
        <f t="shared" si="38"/>
        <v>0</v>
      </c>
    </row>
    <row r="794" spans="1:15" x14ac:dyDescent="0.3">
      <c r="A794" t="s">
        <v>15</v>
      </c>
      <c r="B794" t="s">
        <v>197</v>
      </c>
      <c r="C794" t="s">
        <v>198</v>
      </c>
      <c r="D794">
        <v>1</v>
      </c>
      <c r="E794" t="s">
        <v>51</v>
      </c>
      <c r="F794" t="s">
        <v>52</v>
      </c>
      <c r="G794">
        <v>81</v>
      </c>
      <c r="H794">
        <v>0</v>
      </c>
      <c r="I794">
        <v>81</v>
      </c>
      <c r="J794">
        <f t="shared" si="36"/>
        <v>0</v>
      </c>
      <c r="K794" t="s">
        <v>20</v>
      </c>
      <c r="L794">
        <f t="shared" si="37"/>
        <v>1</v>
      </c>
      <c r="M794">
        <v>9</v>
      </c>
      <c r="N794">
        <v>1</v>
      </c>
      <c r="O794">
        <f t="shared" si="38"/>
        <v>0</v>
      </c>
    </row>
    <row r="795" spans="1:15" x14ac:dyDescent="0.3">
      <c r="A795" t="s">
        <v>15</v>
      </c>
      <c r="B795" t="s">
        <v>197</v>
      </c>
      <c r="C795" t="s">
        <v>198</v>
      </c>
      <c r="D795">
        <v>1</v>
      </c>
      <c r="E795" t="s">
        <v>53</v>
      </c>
      <c r="F795" t="s">
        <v>54</v>
      </c>
      <c r="G795">
        <v>30</v>
      </c>
      <c r="H795">
        <v>28</v>
      </c>
      <c r="I795">
        <v>58</v>
      </c>
      <c r="J795">
        <f t="shared" si="36"/>
        <v>2</v>
      </c>
      <c r="K795" t="s">
        <v>20</v>
      </c>
      <c r="L795">
        <f t="shared" si="37"/>
        <v>1</v>
      </c>
      <c r="M795">
        <v>6</v>
      </c>
      <c r="N795">
        <v>4</v>
      </c>
      <c r="O795">
        <f t="shared" si="38"/>
        <v>1</v>
      </c>
    </row>
    <row r="796" spans="1:15" x14ac:dyDescent="0.3">
      <c r="A796" t="s">
        <v>15</v>
      </c>
      <c r="B796" t="s">
        <v>197</v>
      </c>
      <c r="C796" t="s">
        <v>198</v>
      </c>
      <c r="D796">
        <v>1</v>
      </c>
      <c r="E796" t="s">
        <v>55</v>
      </c>
      <c r="F796" t="s">
        <v>56</v>
      </c>
      <c r="G796">
        <v>31</v>
      </c>
      <c r="H796">
        <v>28</v>
      </c>
      <c r="I796">
        <v>59</v>
      </c>
      <c r="J796">
        <f t="shared" si="36"/>
        <v>3</v>
      </c>
      <c r="K796" t="s">
        <v>20</v>
      </c>
      <c r="L796">
        <f t="shared" si="37"/>
        <v>1</v>
      </c>
      <c r="M796">
        <v>6</v>
      </c>
      <c r="N796">
        <v>3</v>
      </c>
      <c r="O796">
        <f t="shared" si="38"/>
        <v>1</v>
      </c>
    </row>
    <row r="797" spans="1:15" x14ac:dyDescent="0.3">
      <c r="A797" t="s">
        <v>15</v>
      </c>
      <c r="B797" t="s">
        <v>197</v>
      </c>
      <c r="C797" t="s">
        <v>198</v>
      </c>
      <c r="D797">
        <v>1</v>
      </c>
      <c r="E797" t="s">
        <v>57</v>
      </c>
      <c r="F797" t="s">
        <v>58</v>
      </c>
      <c r="G797">
        <v>31</v>
      </c>
      <c r="H797">
        <v>15</v>
      </c>
      <c r="I797">
        <v>46</v>
      </c>
      <c r="J797">
        <f t="shared" si="36"/>
        <v>16</v>
      </c>
      <c r="K797" t="s">
        <v>87</v>
      </c>
      <c r="L797">
        <f t="shared" si="37"/>
        <v>0</v>
      </c>
      <c r="M797">
        <v>0</v>
      </c>
      <c r="N797">
        <v>4</v>
      </c>
      <c r="O797">
        <f t="shared" si="38"/>
        <v>1</v>
      </c>
    </row>
    <row r="798" spans="1:15" x14ac:dyDescent="0.3">
      <c r="A798" t="s">
        <v>15</v>
      </c>
      <c r="B798" t="s">
        <v>201</v>
      </c>
      <c r="C798" t="s">
        <v>202</v>
      </c>
      <c r="D798">
        <v>2</v>
      </c>
      <c r="E798" t="s">
        <v>33</v>
      </c>
      <c r="F798" t="s">
        <v>34</v>
      </c>
      <c r="G798">
        <v>36</v>
      </c>
      <c r="H798">
        <v>10</v>
      </c>
      <c r="I798">
        <v>46</v>
      </c>
      <c r="J798">
        <f t="shared" si="36"/>
        <v>26</v>
      </c>
      <c r="K798" t="s">
        <v>87</v>
      </c>
      <c r="L798">
        <f t="shared" si="37"/>
        <v>0</v>
      </c>
      <c r="M798">
        <v>0</v>
      </c>
      <c r="N798">
        <v>4</v>
      </c>
      <c r="O798">
        <f t="shared" si="38"/>
        <v>1</v>
      </c>
    </row>
    <row r="799" spans="1:15" x14ac:dyDescent="0.3">
      <c r="A799" t="s">
        <v>15</v>
      </c>
      <c r="B799" t="s">
        <v>201</v>
      </c>
      <c r="C799" t="s">
        <v>202</v>
      </c>
      <c r="D799">
        <v>2</v>
      </c>
      <c r="E799" t="s">
        <v>35</v>
      </c>
      <c r="F799" t="s">
        <v>36</v>
      </c>
      <c r="G799">
        <v>19</v>
      </c>
      <c r="H799">
        <v>30</v>
      </c>
      <c r="I799">
        <v>49</v>
      </c>
      <c r="J799">
        <f t="shared" si="36"/>
        <v>-11</v>
      </c>
      <c r="K799" t="s">
        <v>87</v>
      </c>
      <c r="L799">
        <f t="shared" si="37"/>
        <v>0</v>
      </c>
      <c r="M799">
        <v>0</v>
      </c>
      <c r="N799">
        <v>3</v>
      </c>
      <c r="O799">
        <f t="shared" si="38"/>
        <v>1</v>
      </c>
    </row>
    <row r="800" spans="1:15" x14ac:dyDescent="0.3">
      <c r="A800" t="s">
        <v>15</v>
      </c>
      <c r="B800" t="s">
        <v>201</v>
      </c>
      <c r="C800" t="s">
        <v>202</v>
      </c>
      <c r="D800">
        <v>2</v>
      </c>
      <c r="E800" t="s">
        <v>18</v>
      </c>
      <c r="F800" t="s">
        <v>19</v>
      </c>
      <c r="G800">
        <v>41</v>
      </c>
      <c r="H800">
        <v>36</v>
      </c>
      <c r="I800">
        <v>77</v>
      </c>
      <c r="J800">
        <f t="shared" si="36"/>
        <v>5</v>
      </c>
      <c r="K800" t="s">
        <v>20</v>
      </c>
      <c r="L800">
        <f t="shared" si="37"/>
        <v>1</v>
      </c>
      <c r="M800">
        <v>8</v>
      </c>
      <c r="N800">
        <v>4</v>
      </c>
      <c r="O800">
        <f t="shared" si="38"/>
        <v>1</v>
      </c>
    </row>
    <row r="801" spans="1:15" x14ac:dyDescent="0.3">
      <c r="A801" t="s">
        <v>15</v>
      </c>
      <c r="B801" t="s">
        <v>201</v>
      </c>
      <c r="C801" t="s">
        <v>202</v>
      </c>
      <c r="D801">
        <v>2</v>
      </c>
      <c r="E801" t="s">
        <v>21</v>
      </c>
      <c r="F801" t="s">
        <v>22</v>
      </c>
      <c r="G801">
        <v>36</v>
      </c>
      <c r="H801">
        <v>27</v>
      </c>
      <c r="I801">
        <v>63</v>
      </c>
      <c r="J801">
        <f t="shared" si="36"/>
        <v>9</v>
      </c>
      <c r="K801" t="s">
        <v>20</v>
      </c>
      <c r="L801">
        <f t="shared" si="37"/>
        <v>1</v>
      </c>
      <c r="M801">
        <v>7</v>
      </c>
      <c r="N801">
        <v>4</v>
      </c>
      <c r="O801">
        <f t="shared" si="38"/>
        <v>1</v>
      </c>
    </row>
    <row r="802" spans="1:15" x14ac:dyDescent="0.3">
      <c r="A802" t="s">
        <v>15</v>
      </c>
      <c r="B802" t="s">
        <v>201</v>
      </c>
      <c r="C802" t="s">
        <v>202</v>
      </c>
      <c r="D802">
        <v>2</v>
      </c>
      <c r="E802" t="s">
        <v>41</v>
      </c>
      <c r="F802" t="s">
        <v>42</v>
      </c>
      <c r="G802">
        <v>10</v>
      </c>
      <c r="H802">
        <v>17</v>
      </c>
      <c r="I802">
        <v>27</v>
      </c>
      <c r="J802">
        <f t="shared" si="36"/>
        <v>-7</v>
      </c>
      <c r="K802" t="s">
        <v>87</v>
      </c>
      <c r="L802">
        <f t="shared" si="37"/>
        <v>0</v>
      </c>
      <c r="M802">
        <v>0</v>
      </c>
      <c r="N802">
        <v>3</v>
      </c>
      <c r="O802">
        <f t="shared" si="38"/>
        <v>1</v>
      </c>
    </row>
    <row r="803" spans="1:15" x14ac:dyDescent="0.3">
      <c r="A803" t="s">
        <v>15</v>
      </c>
      <c r="B803" t="s">
        <v>201</v>
      </c>
      <c r="C803" t="s">
        <v>202</v>
      </c>
      <c r="D803">
        <v>2</v>
      </c>
      <c r="E803" t="s">
        <v>23</v>
      </c>
      <c r="F803" t="s">
        <v>24</v>
      </c>
      <c r="G803">
        <v>69</v>
      </c>
      <c r="H803">
        <v>0</v>
      </c>
      <c r="I803">
        <v>69</v>
      </c>
      <c r="J803">
        <f t="shared" si="36"/>
        <v>0</v>
      </c>
      <c r="K803" t="s">
        <v>20</v>
      </c>
      <c r="L803">
        <f t="shared" si="37"/>
        <v>1</v>
      </c>
      <c r="M803">
        <v>7</v>
      </c>
      <c r="N803">
        <v>1</v>
      </c>
      <c r="O803">
        <f t="shared" si="38"/>
        <v>0</v>
      </c>
    </row>
    <row r="804" spans="1:15" x14ac:dyDescent="0.3">
      <c r="A804" t="s">
        <v>15</v>
      </c>
      <c r="B804" t="s">
        <v>201</v>
      </c>
      <c r="C804" t="s">
        <v>202</v>
      </c>
      <c r="D804">
        <v>2</v>
      </c>
      <c r="E804" t="s">
        <v>25</v>
      </c>
      <c r="F804" t="s">
        <v>26</v>
      </c>
      <c r="G804">
        <v>34</v>
      </c>
      <c r="H804">
        <v>24</v>
      </c>
      <c r="I804">
        <v>58</v>
      </c>
      <c r="J804">
        <f t="shared" si="36"/>
        <v>10</v>
      </c>
      <c r="K804" t="s">
        <v>20</v>
      </c>
      <c r="L804">
        <f t="shared" si="37"/>
        <v>1</v>
      </c>
      <c r="M804">
        <v>6</v>
      </c>
      <c r="N804">
        <v>1</v>
      </c>
      <c r="O804">
        <f t="shared" si="38"/>
        <v>1</v>
      </c>
    </row>
    <row r="805" spans="1:15" x14ac:dyDescent="0.3">
      <c r="A805" t="s">
        <v>15</v>
      </c>
      <c r="B805" t="s">
        <v>201</v>
      </c>
      <c r="C805" t="s">
        <v>202</v>
      </c>
      <c r="D805">
        <v>2</v>
      </c>
      <c r="E805" t="s">
        <v>27</v>
      </c>
      <c r="F805" t="s">
        <v>28</v>
      </c>
      <c r="G805">
        <v>25</v>
      </c>
      <c r="H805">
        <v>29</v>
      </c>
      <c r="I805">
        <v>54</v>
      </c>
      <c r="J805">
        <f t="shared" si="36"/>
        <v>-4</v>
      </c>
      <c r="K805" t="s">
        <v>20</v>
      </c>
      <c r="L805">
        <f t="shared" si="37"/>
        <v>1</v>
      </c>
      <c r="M805">
        <v>5</v>
      </c>
      <c r="N805">
        <v>2</v>
      </c>
      <c r="O805">
        <f t="shared" si="38"/>
        <v>1</v>
      </c>
    </row>
    <row r="806" spans="1:15" x14ac:dyDescent="0.3">
      <c r="A806" t="s">
        <v>15</v>
      </c>
      <c r="B806" t="s">
        <v>201</v>
      </c>
      <c r="C806" t="s">
        <v>202</v>
      </c>
      <c r="D806">
        <v>2</v>
      </c>
      <c r="E806" t="s">
        <v>203</v>
      </c>
      <c r="F806" t="s">
        <v>204</v>
      </c>
      <c r="G806">
        <v>74</v>
      </c>
      <c r="H806">
        <v>0</v>
      </c>
      <c r="I806">
        <v>74</v>
      </c>
      <c r="J806">
        <f t="shared" si="36"/>
        <v>0</v>
      </c>
      <c r="K806" t="s">
        <v>20</v>
      </c>
      <c r="L806">
        <f t="shared" si="37"/>
        <v>1</v>
      </c>
      <c r="M806">
        <v>8</v>
      </c>
      <c r="N806">
        <v>1</v>
      </c>
      <c r="O806">
        <f t="shared" si="38"/>
        <v>0</v>
      </c>
    </row>
    <row r="807" spans="1:15" x14ac:dyDescent="0.3">
      <c r="A807" t="s">
        <v>15</v>
      </c>
      <c r="B807" t="s">
        <v>201</v>
      </c>
      <c r="C807" t="s">
        <v>202</v>
      </c>
      <c r="D807">
        <v>2</v>
      </c>
      <c r="E807" t="s">
        <v>31</v>
      </c>
      <c r="F807" t="s">
        <v>32</v>
      </c>
      <c r="G807">
        <v>94</v>
      </c>
      <c r="H807">
        <v>0</v>
      </c>
      <c r="I807">
        <v>94</v>
      </c>
      <c r="J807">
        <f t="shared" si="36"/>
        <v>0</v>
      </c>
      <c r="K807" t="s">
        <v>20</v>
      </c>
      <c r="L807">
        <f t="shared" si="37"/>
        <v>1</v>
      </c>
      <c r="M807">
        <v>10</v>
      </c>
      <c r="N807">
        <v>1</v>
      </c>
      <c r="O807">
        <f t="shared" si="38"/>
        <v>0</v>
      </c>
    </row>
    <row r="808" spans="1:15" x14ac:dyDescent="0.3">
      <c r="A808" t="s">
        <v>15</v>
      </c>
      <c r="B808" t="s">
        <v>201</v>
      </c>
      <c r="C808" t="s">
        <v>202</v>
      </c>
      <c r="D808">
        <v>2</v>
      </c>
      <c r="E808" t="s">
        <v>37</v>
      </c>
      <c r="F808" t="s">
        <v>38</v>
      </c>
      <c r="G808">
        <v>25</v>
      </c>
      <c r="H808">
        <v>30</v>
      </c>
      <c r="I808">
        <v>55</v>
      </c>
      <c r="J808">
        <f t="shared" si="36"/>
        <v>-5</v>
      </c>
      <c r="K808" t="s">
        <v>20</v>
      </c>
      <c r="L808">
        <f t="shared" si="37"/>
        <v>1</v>
      </c>
      <c r="M808">
        <v>6</v>
      </c>
      <c r="N808">
        <v>3</v>
      </c>
      <c r="O808">
        <f t="shared" si="38"/>
        <v>1</v>
      </c>
    </row>
    <row r="809" spans="1:15" x14ac:dyDescent="0.3">
      <c r="A809" t="s">
        <v>15</v>
      </c>
      <c r="B809" t="s">
        <v>201</v>
      </c>
      <c r="C809" t="s">
        <v>202</v>
      </c>
      <c r="D809">
        <v>1</v>
      </c>
      <c r="E809" t="s">
        <v>39</v>
      </c>
      <c r="F809" t="s">
        <v>40</v>
      </c>
      <c r="G809">
        <v>88</v>
      </c>
      <c r="H809">
        <v>0</v>
      </c>
      <c r="I809">
        <v>88</v>
      </c>
      <c r="J809">
        <f t="shared" si="36"/>
        <v>0</v>
      </c>
      <c r="K809" t="s">
        <v>20</v>
      </c>
      <c r="L809">
        <f t="shared" si="37"/>
        <v>1</v>
      </c>
      <c r="M809">
        <v>9</v>
      </c>
      <c r="N809">
        <v>1</v>
      </c>
      <c r="O809">
        <f t="shared" si="38"/>
        <v>0</v>
      </c>
    </row>
    <row r="810" spans="1:15" x14ac:dyDescent="0.3">
      <c r="A810" t="s">
        <v>15</v>
      </c>
      <c r="B810" t="s">
        <v>201</v>
      </c>
      <c r="C810" t="s">
        <v>202</v>
      </c>
      <c r="D810">
        <v>1</v>
      </c>
      <c r="E810" t="s">
        <v>41</v>
      </c>
      <c r="F810" t="s">
        <v>42</v>
      </c>
      <c r="G810">
        <v>10</v>
      </c>
      <c r="H810">
        <v>30</v>
      </c>
      <c r="I810">
        <v>40</v>
      </c>
      <c r="J810">
        <f t="shared" si="36"/>
        <v>-20</v>
      </c>
      <c r="K810" t="s">
        <v>87</v>
      </c>
      <c r="L810">
        <f t="shared" si="37"/>
        <v>0</v>
      </c>
      <c r="M810">
        <v>0</v>
      </c>
      <c r="N810">
        <v>3</v>
      </c>
      <c r="O810">
        <f t="shared" si="38"/>
        <v>1</v>
      </c>
    </row>
    <row r="811" spans="1:15" x14ac:dyDescent="0.3">
      <c r="A811" t="s">
        <v>15</v>
      </c>
      <c r="B811" t="s">
        <v>201</v>
      </c>
      <c r="C811" t="s">
        <v>202</v>
      </c>
      <c r="D811">
        <v>1</v>
      </c>
      <c r="E811" t="s">
        <v>43</v>
      </c>
      <c r="F811" t="s">
        <v>44</v>
      </c>
      <c r="G811">
        <v>50</v>
      </c>
      <c r="H811">
        <v>0</v>
      </c>
      <c r="I811">
        <v>50</v>
      </c>
      <c r="J811">
        <f t="shared" si="36"/>
        <v>0</v>
      </c>
      <c r="K811" t="s">
        <v>20</v>
      </c>
      <c r="L811">
        <f t="shared" si="37"/>
        <v>1</v>
      </c>
      <c r="M811">
        <v>5</v>
      </c>
      <c r="N811">
        <v>1</v>
      </c>
      <c r="O811">
        <f t="shared" si="38"/>
        <v>0</v>
      </c>
    </row>
    <row r="812" spans="1:15" x14ac:dyDescent="0.3">
      <c r="A812" t="s">
        <v>15</v>
      </c>
      <c r="B812" t="s">
        <v>201</v>
      </c>
      <c r="C812" t="s">
        <v>202</v>
      </c>
      <c r="D812">
        <v>1</v>
      </c>
      <c r="E812" t="s">
        <v>45</v>
      </c>
      <c r="F812" t="s">
        <v>46</v>
      </c>
      <c r="G812">
        <v>26</v>
      </c>
      <c r="H812">
        <v>35</v>
      </c>
      <c r="I812">
        <v>61</v>
      </c>
      <c r="J812">
        <f t="shared" si="36"/>
        <v>-9</v>
      </c>
      <c r="K812" t="s">
        <v>20</v>
      </c>
      <c r="L812">
        <f t="shared" si="37"/>
        <v>1</v>
      </c>
      <c r="M812">
        <v>6</v>
      </c>
      <c r="N812">
        <v>1</v>
      </c>
      <c r="O812">
        <f t="shared" si="38"/>
        <v>1</v>
      </c>
    </row>
    <row r="813" spans="1:15" x14ac:dyDescent="0.3">
      <c r="A813" t="s">
        <v>15</v>
      </c>
      <c r="B813" t="s">
        <v>201</v>
      </c>
      <c r="C813" t="s">
        <v>202</v>
      </c>
      <c r="D813">
        <v>1</v>
      </c>
      <c r="E813" t="s">
        <v>187</v>
      </c>
      <c r="F813" t="s">
        <v>188</v>
      </c>
      <c r="G813">
        <v>73</v>
      </c>
      <c r="H813">
        <v>0</v>
      </c>
      <c r="I813">
        <v>73</v>
      </c>
      <c r="J813">
        <f t="shared" si="36"/>
        <v>0</v>
      </c>
      <c r="K813" t="s">
        <v>20</v>
      </c>
      <c r="L813">
        <f t="shared" si="37"/>
        <v>1</v>
      </c>
      <c r="M813">
        <v>8</v>
      </c>
      <c r="N813">
        <v>1</v>
      </c>
      <c r="O813">
        <f t="shared" si="38"/>
        <v>0</v>
      </c>
    </row>
    <row r="814" spans="1:15" x14ac:dyDescent="0.3">
      <c r="A814" t="s">
        <v>15</v>
      </c>
      <c r="B814" t="s">
        <v>201</v>
      </c>
      <c r="C814" t="s">
        <v>202</v>
      </c>
      <c r="D814">
        <v>1</v>
      </c>
      <c r="E814" t="s">
        <v>49</v>
      </c>
      <c r="F814" t="s">
        <v>50</v>
      </c>
      <c r="G814">
        <v>90</v>
      </c>
      <c r="H814">
        <v>0</v>
      </c>
      <c r="I814">
        <v>90</v>
      </c>
      <c r="J814">
        <f t="shared" si="36"/>
        <v>0</v>
      </c>
      <c r="K814" t="s">
        <v>20</v>
      </c>
      <c r="L814">
        <f t="shared" si="37"/>
        <v>1</v>
      </c>
      <c r="M814">
        <v>9</v>
      </c>
      <c r="N814">
        <v>1</v>
      </c>
      <c r="O814">
        <f t="shared" si="38"/>
        <v>0</v>
      </c>
    </row>
    <row r="815" spans="1:15" x14ac:dyDescent="0.3">
      <c r="A815" t="s">
        <v>15</v>
      </c>
      <c r="B815" t="s">
        <v>201</v>
      </c>
      <c r="C815" t="s">
        <v>202</v>
      </c>
      <c r="D815">
        <v>1</v>
      </c>
      <c r="E815" t="s">
        <v>51</v>
      </c>
      <c r="F815" t="s">
        <v>52</v>
      </c>
      <c r="G815">
        <v>82</v>
      </c>
      <c r="H815">
        <v>0</v>
      </c>
      <c r="I815">
        <v>82</v>
      </c>
      <c r="J815">
        <f t="shared" si="36"/>
        <v>0</v>
      </c>
      <c r="K815" t="s">
        <v>20</v>
      </c>
      <c r="L815">
        <f t="shared" si="37"/>
        <v>1</v>
      </c>
      <c r="M815">
        <v>9</v>
      </c>
      <c r="N815">
        <v>1</v>
      </c>
      <c r="O815">
        <f t="shared" si="38"/>
        <v>0</v>
      </c>
    </row>
    <row r="816" spans="1:15" x14ac:dyDescent="0.3">
      <c r="A816" t="s">
        <v>15</v>
      </c>
      <c r="B816" t="s">
        <v>201</v>
      </c>
      <c r="C816" t="s">
        <v>202</v>
      </c>
      <c r="D816">
        <v>1</v>
      </c>
      <c r="E816" t="s">
        <v>53</v>
      </c>
      <c r="F816" t="s">
        <v>54</v>
      </c>
      <c r="G816">
        <v>34</v>
      </c>
      <c r="H816">
        <v>33</v>
      </c>
      <c r="I816">
        <v>67</v>
      </c>
      <c r="J816">
        <f t="shared" si="36"/>
        <v>1</v>
      </c>
      <c r="K816" t="s">
        <v>20</v>
      </c>
      <c r="L816">
        <f t="shared" si="37"/>
        <v>1</v>
      </c>
      <c r="M816">
        <v>7</v>
      </c>
      <c r="N816">
        <v>4</v>
      </c>
      <c r="O816">
        <f t="shared" si="38"/>
        <v>1</v>
      </c>
    </row>
    <row r="817" spans="1:15" x14ac:dyDescent="0.3">
      <c r="A817" t="s">
        <v>15</v>
      </c>
      <c r="B817" t="s">
        <v>201</v>
      </c>
      <c r="C817" t="s">
        <v>202</v>
      </c>
      <c r="D817">
        <v>1</v>
      </c>
      <c r="E817" t="s">
        <v>55</v>
      </c>
      <c r="F817" t="s">
        <v>56</v>
      </c>
      <c r="G817">
        <v>29</v>
      </c>
      <c r="H817">
        <v>29</v>
      </c>
      <c r="I817">
        <v>58</v>
      </c>
      <c r="J817">
        <f t="shared" si="36"/>
        <v>0</v>
      </c>
      <c r="K817" t="s">
        <v>20</v>
      </c>
      <c r="L817">
        <f t="shared" si="37"/>
        <v>1</v>
      </c>
      <c r="M817">
        <v>6</v>
      </c>
      <c r="N817">
        <v>3</v>
      </c>
      <c r="O817">
        <f t="shared" si="38"/>
        <v>1</v>
      </c>
    </row>
    <row r="818" spans="1:15" x14ac:dyDescent="0.3">
      <c r="A818" t="s">
        <v>15</v>
      </c>
      <c r="B818" t="s">
        <v>201</v>
      </c>
      <c r="C818" t="s">
        <v>202</v>
      </c>
      <c r="D818">
        <v>1</v>
      </c>
      <c r="E818" t="s">
        <v>57</v>
      </c>
      <c r="F818" t="s">
        <v>58</v>
      </c>
      <c r="G818">
        <v>30</v>
      </c>
      <c r="H818">
        <v>26</v>
      </c>
      <c r="I818">
        <v>56</v>
      </c>
      <c r="J818">
        <f t="shared" si="36"/>
        <v>4</v>
      </c>
      <c r="K818" t="s">
        <v>20</v>
      </c>
      <c r="L818">
        <f t="shared" si="37"/>
        <v>1</v>
      </c>
      <c r="M818">
        <v>6</v>
      </c>
      <c r="N818">
        <v>4</v>
      </c>
      <c r="O818">
        <f t="shared" si="38"/>
        <v>1</v>
      </c>
    </row>
    <row r="819" spans="1:15" x14ac:dyDescent="0.3">
      <c r="A819" t="s">
        <v>15</v>
      </c>
      <c r="B819" t="s">
        <v>205</v>
      </c>
      <c r="C819" t="s">
        <v>206</v>
      </c>
      <c r="D819">
        <v>2</v>
      </c>
      <c r="E819" t="s">
        <v>18</v>
      </c>
      <c r="F819" t="s">
        <v>19</v>
      </c>
      <c r="G819">
        <v>44</v>
      </c>
      <c r="H819">
        <v>41</v>
      </c>
      <c r="I819">
        <v>85</v>
      </c>
      <c r="J819">
        <f t="shared" si="36"/>
        <v>3</v>
      </c>
      <c r="K819" t="s">
        <v>20</v>
      </c>
      <c r="L819">
        <f t="shared" si="37"/>
        <v>1</v>
      </c>
      <c r="M819">
        <v>8</v>
      </c>
      <c r="N819">
        <v>4</v>
      </c>
      <c r="O819">
        <f t="shared" si="38"/>
        <v>1</v>
      </c>
    </row>
    <row r="820" spans="1:15" x14ac:dyDescent="0.3">
      <c r="A820" t="s">
        <v>15</v>
      </c>
      <c r="B820" t="s">
        <v>205</v>
      </c>
      <c r="C820" t="s">
        <v>206</v>
      </c>
      <c r="D820">
        <v>2</v>
      </c>
      <c r="E820" t="s">
        <v>21</v>
      </c>
      <c r="F820" t="s">
        <v>22</v>
      </c>
      <c r="G820">
        <v>41</v>
      </c>
      <c r="H820">
        <v>28</v>
      </c>
      <c r="I820">
        <v>69</v>
      </c>
      <c r="J820">
        <f t="shared" si="36"/>
        <v>13</v>
      </c>
      <c r="K820" t="s">
        <v>20</v>
      </c>
      <c r="L820">
        <f t="shared" si="37"/>
        <v>1</v>
      </c>
      <c r="M820">
        <v>7</v>
      </c>
      <c r="N820">
        <v>4</v>
      </c>
      <c r="O820">
        <f t="shared" si="38"/>
        <v>1</v>
      </c>
    </row>
    <row r="821" spans="1:15" x14ac:dyDescent="0.3">
      <c r="A821" t="s">
        <v>15</v>
      </c>
      <c r="B821" t="s">
        <v>205</v>
      </c>
      <c r="C821" t="s">
        <v>206</v>
      </c>
      <c r="D821">
        <v>2</v>
      </c>
      <c r="E821" t="s">
        <v>23</v>
      </c>
      <c r="F821" t="s">
        <v>24</v>
      </c>
      <c r="G821">
        <v>86</v>
      </c>
      <c r="H821">
        <v>0</v>
      </c>
      <c r="I821">
        <v>86</v>
      </c>
      <c r="J821">
        <f t="shared" si="36"/>
        <v>0</v>
      </c>
      <c r="K821" t="s">
        <v>20</v>
      </c>
      <c r="L821">
        <f t="shared" si="37"/>
        <v>1</v>
      </c>
      <c r="M821">
        <v>9</v>
      </c>
      <c r="N821">
        <v>1</v>
      </c>
      <c r="O821">
        <f t="shared" si="38"/>
        <v>0</v>
      </c>
    </row>
    <row r="822" spans="1:15" x14ac:dyDescent="0.3">
      <c r="A822" t="s">
        <v>15</v>
      </c>
      <c r="B822" t="s">
        <v>205</v>
      </c>
      <c r="C822" t="s">
        <v>206</v>
      </c>
      <c r="D822">
        <v>2</v>
      </c>
      <c r="E822" t="s">
        <v>25</v>
      </c>
      <c r="F822" t="s">
        <v>26</v>
      </c>
      <c r="G822">
        <v>38</v>
      </c>
      <c r="H822">
        <v>23</v>
      </c>
      <c r="I822">
        <v>61</v>
      </c>
      <c r="J822">
        <f t="shared" si="36"/>
        <v>15</v>
      </c>
      <c r="K822" t="s">
        <v>20</v>
      </c>
      <c r="L822">
        <f t="shared" si="37"/>
        <v>1</v>
      </c>
      <c r="M822">
        <v>6</v>
      </c>
      <c r="N822">
        <v>1</v>
      </c>
      <c r="O822">
        <f t="shared" si="38"/>
        <v>1</v>
      </c>
    </row>
    <row r="823" spans="1:15" x14ac:dyDescent="0.3">
      <c r="A823" t="s">
        <v>15</v>
      </c>
      <c r="B823" t="s">
        <v>205</v>
      </c>
      <c r="C823" t="s">
        <v>206</v>
      </c>
      <c r="D823">
        <v>2</v>
      </c>
      <c r="E823" t="s">
        <v>27</v>
      </c>
      <c r="F823" t="s">
        <v>28</v>
      </c>
      <c r="G823">
        <v>30</v>
      </c>
      <c r="H823">
        <v>34</v>
      </c>
      <c r="I823">
        <v>64</v>
      </c>
      <c r="J823">
        <f t="shared" si="36"/>
        <v>-4</v>
      </c>
      <c r="K823" t="s">
        <v>20</v>
      </c>
      <c r="L823">
        <f t="shared" si="37"/>
        <v>1</v>
      </c>
      <c r="M823">
        <v>7</v>
      </c>
      <c r="N823">
        <v>2</v>
      </c>
      <c r="O823">
        <f t="shared" si="38"/>
        <v>1</v>
      </c>
    </row>
    <row r="824" spans="1:15" x14ac:dyDescent="0.3">
      <c r="A824" t="s">
        <v>15</v>
      </c>
      <c r="B824" t="s">
        <v>205</v>
      </c>
      <c r="C824" t="s">
        <v>206</v>
      </c>
      <c r="D824">
        <v>2</v>
      </c>
      <c r="E824" t="s">
        <v>109</v>
      </c>
      <c r="F824" t="s">
        <v>110</v>
      </c>
      <c r="G824">
        <v>91</v>
      </c>
      <c r="H824">
        <v>0</v>
      </c>
      <c r="I824">
        <v>91</v>
      </c>
      <c r="J824">
        <f t="shared" si="36"/>
        <v>0</v>
      </c>
      <c r="K824" t="s">
        <v>20</v>
      </c>
      <c r="L824">
        <f t="shared" si="37"/>
        <v>1</v>
      </c>
      <c r="M824">
        <v>10</v>
      </c>
      <c r="N824">
        <v>1</v>
      </c>
      <c r="O824">
        <f t="shared" si="38"/>
        <v>0</v>
      </c>
    </row>
    <row r="825" spans="1:15" x14ac:dyDescent="0.3">
      <c r="A825" t="s">
        <v>15</v>
      </c>
      <c r="B825" t="s">
        <v>205</v>
      </c>
      <c r="C825" t="s">
        <v>206</v>
      </c>
      <c r="D825">
        <v>2</v>
      </c>
      <c r="E825" t="s">
        <v>31</v>
      </c>
      <c r="F825" t="s">
        <v>32</v>
      </c>
      <c r="G825">
        <v>94</v>
      </c>
      <c r="H825">
        <v>0</v>
      </c>
      <c r="I825">
        <v>94</v>
      </c>
      <c r="J825">
        <f t="shared" si="36"/>
        <v>0</v>
      </c>
      <c r="K825" t="s">
        <v>20</v>
      </c>
      <c r="L825">
        <f t="shared" si="37"/>
        <v>1</v>
      </c>
      <c r="M825">
        <v>10</v>
      </c>
      <c r="N825">
        <v>1</v>
      </c>
      <c r="O825">
        <f t="shared" si="38"/>
        <v>0</v>
      </c>
    </row>
    <row r="826" spans="1:15" x14ac:dyDescent="0.3">
      <c r="A826" t="s">
        <v>15</v>
      </c>
      <c r="B826" t="s">
        <v>205</v>
      </c>
      <c r="C826" t="s">
        <v>206</v>
      </c>
      <c r="D826">
        <v>2</v>
      </c>
      <c r="E826" t="s">
        <v>33</v>
      </c>
      <c r="F826" t="s">
        <v>34</v>
      </c>
      <c r="G826">
        <v>43</v>
      </c>
      <c r="H826">
        <v>26</v>
      </c>
      <c r="I826">
        <v>69</v>
      </c>
      <c r="J826">
        <f t="shared" si="36"/>
        <v>17</v>
      </c>
      <c r="K826" t="s">
        <v>20</v>
      </c>
      <c r="L826">
        <f t="shared" si="37"/>
        <v>1</v>
      </c>
      <c r="M826">
        <v>8</v>
      </c>
      <c r="N826">
        <v>4</v>
      </c>
      <c r="O826">
        <f t="shared" si="38"/>
        <v>1</v>
      </c>
    </row>
    <row r="827" spans="1:15" x14ac:dyDescent="0.3">
      <c r="A827" t="s">
        <v>15</v>
      </c>
      <c r="B827" t="s">
        <v>205</v>
      </c>
      <c r="C827" t="s">
        <v>206</v>
      </c>
      <c r="D827">
        <v>2</v>
      </c>
      <c r="E827" t="s">
        <v>35</v>
      </c>
      <c r="F827" t="s">
        <v>36</v>
      </c>
      <c r="G827">
        <v>28</v>
      </c>
      <c r="H827">
        <v>36</v>
      </c>
      <c r="I827">
        <v>64</v>
      </c>
      <c r="J827">
        <f t="shared" si="36"/>
        <v>-8</v>
      </c>
      <c r="K827" t="s">
        <v>20</v>
      </c>
      <c r="L827">
        <f t="shared" si="37"/>
        <v>1</v>
      </c>
      <c r="M827">
        <v>6</v>
      </c>
      <c r="N827">
        <v>3</v>
      </c>
      <c r="O827">
        <f t="shared" si="38"/>
        <v>1</v>
      </c>
    </row>
    <row r="828" spans="1:15" x14ac:dyDescent="0.3">
      <c r="A828" t="s">
        <v>15</v>
      </c>
      <c r="B828" t="s">
        <v>205</v>
      </c>
      <c r="C828" t="s">
        <v>206</v>
      </c>
      <c r="D828">
        <v>2</v>
      </c>
      <c r="E828" t="s">
        <v>37</v>
      </c>
      <c r="F828" t="s">
        <v>38</v>
      </c>
      <c r="G828">
        <v>31</v>
      </c>
      <c r="H828">
        <v>40</v>
      </c>
      <c r="I828">
        <v>71</v>
      </c>
      <c r="J828">
        <f t="shared" si="36"/>
        <v>-9</v>
      </c>
      <c r="K828" t="s">
        <v>20</v>
      </c>
      <c r="L828">
        <f t="shared" si="37"/>
        <v>1</v>
      </c>
      <c r="M828">
        <v>7</v>
      </c>
      <c r="N828">
        <v>3</v>
      </c>
      <c r="O828">
        <f t="shared" si="38"/>
        <v>1</v>
      </c>
    </row>
    <row r="829" spans="1:15" x14ac:dyDescent="0.3">
      <c r="A829" t="s">
        <v>15</v>
      </c>
      <c r="B829" t="s">
        <v>205</v>
      </c>
      <c r="C829" t="s">
        <v>206</v>
      </c>
      <c r="D829">
        <v>1</v>
      </c>
      <c r="E829" t="s">
        <v>39</v>
      </c>
      <c r="F829" t="s">
        <v>40</v>
      </c>
      <c r="G829">
        <v>89</v>
      </c>
      <c r="H829">
        <v>0</v>
      </c>
      <c r="I829">
        <v>89</v>
      </c>
      <c r="J829">
        <f t="shared" si="36"/>
        <v>0</v>
      </c>
      <c r="K829" t="s">
        <v>20</v>
      </c>
      <c r="L829">
        <f t="shared" si="37"/>
        <v>1</v>
      </c>
      <c r="M829">
        <v>9</v>
      </c>
      <c r="N829">
        <v>1</v>
      </c>
      <c r="O829">
        <f t="shared" si="38"/>
        <v>0</v>
      </c>
    </row>
    <row r="830" spans="1:15" x14ac:dyDescent="0.3">
      <c r="A830" t="s">
        <v>15</v>
      </c>
      <c r="B830" t="s">
        <v>205</v>
      </c>
      <c r="C830" t="s">
        <v>206</v>
      </c>
      <c r="D830">
        <v>1</v>
      </c>
      <c r="E830" t="s">
        <v>41</v>
      </c>
      <c r="F830" t="s">
        <v>42</v>
      </c>
      <c r="G830">
        <v>23</v>
      </c>
      <c r="H830">
        <v>33</v>
      </c>
      <c r="I830">
        <v>56</v>
      </c>
      <c r="J830">
        <f t="shared" si="36"/>
        <v>-10</v>
      </c>
      <c r="K830" t="s">
        <v>20</v>
      </c>
      <c r="L830">
        <f t="shared" si="37"/>
        <v>1</v>
      </c>
      <c r="M830">
        <v>7</v>
      </c>
      <c r="N830">
        <v>3</v>
      </c>
      <c r="O830">
        <f t="shared" si="38"/>
        <v>1</v>
      </c>
    </row>
    <row r="831" spans="1:15" x14ac:dyDescent="0.3">
      <c r="A831" t="s">
        <v>15</v>
      </c>
      <c r="B831" t="s">
        <v>205</v>
      </c>
      <c r="C831" t="s">
        <v>206</v>
      </c>
      <c r="D831">
        <v>1</v>
      </c>
      <c r="E831" t="s">
        <v>43</v>
      </c>
      <c r="F831" t="s">
        <v>44</v>
      </c>
      <c r="G831">
        <v>64</v>
      </c>
      <c r="H831">
        <v>0</v>
      </c>
      <c r="I831">
        <v>64</v>
      </c>
      <c r="J831">
        <f t="shared" si="36"/>
        <v>0</v>
      </c>
      <c r="K831" t="s">
        <v>20</v>
      </c>
      <c r="L831">
        <f t="shared" si="37"/>
        <v>1</v>
      </c>
      <c r="M831">
        <v>7</v>
      </c>
      <c r="N831">
        <v>1</v>
      </c>
      <c r="O831">
        <f t="shared" si="38"/>
        <v>0</v>
      </c>
    </row>
    <row r="832" spans="1:15" x14ac:dyDescent="0.3">
      <c r="A832" t="s">
        <v>15</v>
      </c>
      <c r="B832" t="s">
        <v>205</v>
      </c>
      <c r="C832" t="s">
        <v>206</v>
      </c>
      <c r="D832">
        <v>1</v>
      </c>
      <c r="E832" t="s">
        <v>45</v>
      </c>
      <c r="F832" t="s">
        <v>46</v>
      </c>
      <c r="G832">
        <v>27</v>
      </c>
      <c r="H832">
        <v>33</v>
      </c>
      <c r="I832">
        <v>60</v>
      </c>
      <c r="J832">
        <f t="shared" si="36"/>
        <v>-6</v>
      </c>
      <c r="K832" t="s">
        <v>20</v>
      </c>
      <c r="L832">
        <f t="shared" si="37"/>
        <v>1</v>
      </c>
      <c r="M832">
        <v>6</v>
      </c>
      <c r="N832">
        <v>1</v>
      </c>
      <c r="O832">
        <f t="shared" si="38"/>
        <v>1</v>
      </c>
    </row>
    <row r="833" spans="1:15" x14ac:dyDescent="0.3">
      <c r="A833" t="s">
        <v>15</v>
      </c>
      <c r="B833" t="s">
        <v>205</v>
      </c>
      <c r="C833" t="s">
        <v>206</v>
      </c>
      <c r="D833">
        <v>1</v>
      </c>
      <c r="E833" t="s">
        <v>71</v>
      </c>
      <c r="F833" t="s">
        <v>72</v>
      </c>
      <c r="G833">
        <v>96</v>
      </c>
      <c r="H833">
        <v>0</v>
      </c>
      <c r="I833">
        <v>96</v>
      </c>
      <c r="J833">
        <f t="shared" si="36"/>
        <v>0</v>
      </c>
      <c r="K833" t="s">
        <v>20</v>
      </c>
      <c r="L833">
        <f t="shared" si="37"/>
        <v>1</v>
      </c>
      <c r="M833">
        <v>10</v>
      </c>
      <c r="N833">
        <v>1</v>
      </c>
      <c r="O833">
        <f t="shared" si="38"/>
        <v>0</v>
      </c>
    </row>
    <row r="834" spans="1:15" x14ac:dyDescent="0.3">
      <c r="A834" t="s">
        <v>15</v>
      </c>
      <c r="B834" t="s">
        <v>205</v>
      </c>
      <c r="C834" t="s">
        <v>206</v>
      </c>
      <c r="D834">
        <v>1</v>
      </c>
      <c r="E834" t="s">
        <v>49</v>
      </c>
      <c r="F834" t="s">
        <v>50</v>
      </c>
      <c r="G834">
        <v>100</v>
      </c>
      <c r="H834">
        <v>0</v>
      </c>
      <c r="I834">
        <v>100</v>
      </c>
      <c r="J834">
        <f t="shared" ref="J834:J897" si="39">IF(H834=0,0,G834-H834)</f>
        <v>0</v>
      </c>
      <c r="K834" t="s">
        <v>20</v>
      </c>
      <c r="L834">
        <f t="shared" ref="L834:L897" si="40">IF(K834="Pass",1,0)</f>
        <v>1</v>
      </c>
      <c r="M834">
        <v>10</v>
      </c>
      <c r="N834">
        <v>1</v>
      </c>
      <c r="O834">
        <f t="shared" ref="O834:O897" si="41">IF(H834=0,0,1)</f>
        <v>0</v>
      </c>
    </row>
    <row r="835" spans="1:15" x14ac:dyDescent="0.3">
      <c r="A835" t="s">
        <v>15</v>
      </c>
      <c r="B835" t="s">
        <v>205</v>
      </c>
      <c r="C835" t="s">
        <v>206</v>
      </c>
      <c r="D835">
        <v>1</v>
      </c>
      <c r="E835" t="s">
        <v>51</v>
      </c>
      <c r="F835" t="s">
        <v>52</v>
      </c>
      <c r="G835">
        <v>86</v>
      </c>
      <c r="H835">
        <v>0</v>
      </c>
      <c r="I835">
        <v>86</v>
      </c>
      <c r="J835">
        <f t="shared" si="39"/>
        <v>0</v>
      </c>
      <c r="K835" t="s">
        <v>20</v>
      </c>
      <c r="L835">
        <f t="shared" si="40"/>
        <v>1</v>
      </c>
      <c r="M835">
        <v>9</v>
      </c>
      <c r="N835">
        <v>1</v>
      </c>
      <c r="O835">
        <f t="shared" si="41"/>
        <v>0</v>
      </c>
    </row>
    <row r="836" spans="1:15" x14ac:dyDescent="0.3">
      <c r="A836" t="s">
        <v>15</v>
      </c>
      <c r="B836" t="s">
        <v>205</v>
      </c>
      <c r="C836" t="s">
        <v>206</v>
      </c>
      <c r="D836">
        <v>1</v>
      </c>
      <c r="E836" t="s">
        <v>53</v>
      </c>
      <c r="F836" t="s">
        <v>54</v>
      </c>
      <c r="G836">
        <v>43</v>
      </c>
      <c r="H836">
        <v>46</v>
      </c>
      <c r="I836">
        <v>89</v>
      </c>
      <c r="J836">
        <f t="shared" si="39"/>
        <v>-3</v>
      </c>
      <c r="K836" t="s">
        <v>20</v>
      </c>
      <c r="L836">
        <f t="shared" si="40"/>
        <v>1</v>
      </c>
      <c r="M836">
        <v>9</v>
      </c>
      <c r="N836">
        <v>4</v>
      </c>
      <c r="O836">
        <f t="shared" si="41"/>
        <v>1</v>
      </c>
    </row>
    <row r="837" spans="1:15" x14ac:dyDescent="0.3">
      <c r="A837" t="s">
        <v>15</v>
      </c>
      <c r="B837" t="s">
        <v>205</v>
      </c>
      <c r="C837" t="s">
        <v>206</v>
      </c>
      <c r="D837">
        <v>1</v>
      </c>
      <c r="E837" t="s">
        <v>55</v>
      </c>
      <c r="F837" t="s">
        <v>56</v>
      </c>
      <c r="G837">
        <v>37</v>
      </c>
      <c r="H837">
        <v>43</v>
      </c>
      <c r="I837">
        <v>80</v>
      </c>
      <c r="J837">
        <f t="shared" si="39"/>
        <v>-6</v>
      </c>
      <c r="K837" t="s">
        <v>20</v>
      </c>
      <c r="L837">
        <f t="shared" si="40"/>
        <v>1</v>
      </c>
      <c r="M837">
        <v>8</v>
      </c>
      <c r="N837">
        <v>3</v>
      </c>
      <c r="O837">
        <f t="shared" si="41"/>
        <v>1</v>
      </c>
    </row>
    <row r="838" spans="1:15" x14ac:dyDescent="0.3">
      <c r="A838" t="s">
        <v>15</v>
      </c>
      <c r="B838" t="s">
        <v>205</v>
      </c>
      <c r="C838" t="s">
        <v>206</v>
      </c>
      <c r="D838">
        <v>1</v>
      </c>
      <c r="E838" t="s">
        <v>57</v>
      </c>
      <c r="F838" t="s">
        <v>58</v>
      </c>
      <c r="G838">
        <v>37</v>
      </c>
      <c r="H838">
        <v>35</v>
      </c>
      <c r="I838">
        <v>72</v>
      </c>
      <c r="J838">
        <f t="shared" si="39"/>
        <v>2</v>
      </c>
      <c r="K838" t="s">
        <v>20</v>
      </c>
      <c r="L838">
        <f t="shared" si="40"/>
        <v>1</v>
      </c>
      <c r="M838">
        <v>8</v>
      </c>
      <c r="N838">
        <v>4</v>
      </c>
      <c r="O838">
        <f t="shared" si="41"/>
        <v>1</v>
      </c>
    </row>
    <row r="839" spans="1:15" x14ac:dyDescent="0.3">
      <c r="A839" t="s">
        <v>15</v>
      </c>
      <c r="B839" t="s">
        <v>207</v>
      </c>
      <c r="C839" t="s">
        <v>208</v>
      </c>
      <c r="D839">
        <v>2</v>
      </c>
      <c r="E839" t="s">
        <v>18</v>
      </c>
      <c r="F839" t="s">
        <v>19</v>
      </c>
      <c r="G839">
        <v>45</v>
      </c>
      <c r="H839">
        <v>31</v>
      </c>
      <c r="I839">
        <v>76</v>
      </c>
      <c r="J839">
        <f t="shared" si="39"/>
        <v>14</v>
      </c>
      <c r="K839" t="s">
        <v>20</v>
      </c>
      <c r="L839">
        <f t="shared" si="40"/>
        <v>1</v>
      </c>
      <c r="M839">
        <v>8</v>
      </c>
      <c r="N839">
        <v>4</v>
      </c>
      <c r="O839">
        <f t="shared" si="41"/>
        <v>1</v>
      </c>
    </row>
    <row r="840" spans="1:15" x14ac:dyDescent="0.3">
      <c r="A840" t="s">
        <v>15</v>
      </c>
      <c r="B840" t="s">
        <v>207</v>
      </c>
      <c r="C840" t="s">
        <v>208</v>
      </c>
      <c r="D840">
        <v>2</v>
      </c>
      <c r="E840" t="s">
        <v>21</v>
      </c>
      <c r="F840" t="s">
        <v>22</v>
      </c>
      <c r="G840">
        <v>44</v>
      </c>
      <c r="H840">
        <v>31</v>
      </c>
      <c r="I840">
        <v>75</v>
      </c>
      <c r="J840">
        <f t="shared" si="39"/>
        <v>13</v>
      </c>
      <c r="K840" t="s">
        <v>20</v>
      </c>
      <c r="L840">
        <f t="shared" si="40"/>
        <v>1</v>
      </c>
      <c r="M840">
        <v>8</v>
      </c>
      <c r="N840">
        <v>4</v>
      </c>
      <c r="O840">
        <f t="shared" si="41"/>
        <v>1</v>
      </c>
    </row>
    <row r="841" spans="1:15" x14ac:dyDescent="0.3">
      <c r="A841" t="s">
        <v>15</v>
      </c>
      <c r="B841" t="s">
        <v>207</v>
      </c>
      <c r="C841" t="s">
        <v>208</v>
      </c>
      <c r="D841">
        <v>2</v>
      </c>
      <c r="E841" t="s">
        <v>23</v>
      </c>
      <c r="F841" t="s">
        <v>24</v>
      </c>
      <c r="G841">
        <v>84</v>
      </c>
      <c r="H841">
        <v>0</v>
      </c>
      <c r="I841">
        <v>84</v>
      </c>
      <c r="J841">
        <f t="shared" si="39"/>
        <v>0</v>
      </c>
      <c r="K841" t="s">
        <v>20</v>
      </c>
      <c r="L841">
        <f t="shared" si="40"/>
        <v>1</v>
      </c>
      <c r="M841">
        <v>9</v>
      </c>
      <c r="N841">
        <v>1</v>
      </c>
      <c r="O841">
        <f t="shared" si="41"/>
        <v>0</v>
      </c>
    </row>
    <row r="842" spans="1:15" x14ac:dyDescent="0.3">
      <c r="A842" t="s">
        <v>15</v>
      </c>
      <c r="B842" t="s">
        <v>207</v>
      </c>
      <c r="C842" t="s">
        <v>208</v>
      </c>
      <c r="D842">
        <v>2</v>
      </c>
      <c r="E842" t="s">
        <v>25</v>
      </c>
      <c r="F842" t="s">
        <v>26</v>
      </c>
      <c r="G842">
        <v>34</v>
      </c>
      <c r="H842">
        <v>31</v>
      </c>
      <c r="I842">
        <v>65</v>
      </c>
      <c r="J842">
        <f t="shared" si="39"/>
        <v>3</v>
      </c>
      <c r="K842" t="s">
        <v>20</v>
      </c>
      <c r="L842">
        <f t="shared" si="40"/>
        <v>1</v>
      </c>
      <c r="M842">
        <v>7</v>
      </c>
      <c r="N842">
        <v>1</v>
      </c>
      <c r="O842">
        <f t="shared" si="41"/>
        <v>1</v>
      </c>
    </row>
    <row r="843" spans="1:15" x14ac:dyDescent="0.3">
      <c r="A843" t="s">
        <v>15</v>
      </c>
      <c r="B843" t="s">
        <v>207</v>
      </c>
      <c r="C843" t="s">
        <v>208</v>
      </c>
      <c r="D843">
        <v>2</v>
      </c>
      <c r="E843" t="s">
        <v>27</v>
      </c>
      <c r="F843" t="s">
        <v>28</v>
      </c>
      <c r="G843">
        <v>32</v>
      </c>
      <c r="H843">
        <v>37</v>
      </c>
      <c r="I843">
        <v>69</v>
      </c>
      <c r="J843">
        <f t="shared" si="39"/>
        <v>-5</v>
      </c>
      <c r="K843" t="s">
        <v>20</v>
      </c>
      <c r="L843">
        <f t="shared" si="40"/>
        <v>1</v>
      </c>
      <c r="M843">
        <v>7</v>
      </c>
      <c r="N843">
        <v>2</v>
      </c>
      <c r="O843">
        <f t="shared" si="41"/>
        <v>1</v>
      </c>
    </row>
    <row r="844" spans="1:15" x14ac:dyDescent="0.3">
      <c r="A844" t="s">
        <v>15</v>
      </c>
      <c r="B844" t="s">
        <v>207</v>
      </c>
      <c r="C844" t="s">
        <v>208</v>
      </c>
      <c r="D844">
        <v>2</v>
      </c>
      <c r="E844" t="s">
        <v>165</v>
      </c>
      <c r="F844" t="s">
        <v>166</v>
      </c>
      <c r="G844">
        <v>93</v>
      </c>
      <c r="H844">
        <v>0</v>
      </c>
      <c r="I844">
        <v>93</v>
      </c>
      <c r="J844">
        <f t="shared" si="39"/>
        <v>0</v>
      </c>
      <c r="K844" t="s">
        <v>20</v>
      </c>
      <c r="L844">
        <f t="shared" si="40"/>
        <v>1</v>
      </c>
      <c r="M844">
        <v>10</v>
      </c>
      <c r="N844">
        <v>1</v>
      </c>
      <c r="O844">
        <f t="shared" si="41"/>
        <v>0</v>
      </c>
    </row>
    <row r="845" spans="1:15" x14ac:dyDescent="0.3">
      <c r="A845" t="s">
        <v>15</v>
      </c>
      <c r="B845" t="s">
        <v>207</v>
      </c>
      <c r="C845" t="s">
        <v>208</v>
      </c>
      <c r="D845">
        <v>2</v>
      </c>
      <c r="E845" t="s">
        <v>31</v>
      </c>
      <c r="F845" t="s">
        <v>32</v>
      </c>
      <c r="G845">
        <v>94</v>
      </c>
      <c r="H845">
        <v>0</v>
      </c>
      <c r="I845">
        <v>94</v>
      </c>
      <c r="J845">
        <f t="shared" si="39"/>
        <v>0</v>
      </c>
      <c r="K845" t="s">
        <v>20</v>
      </c>
      <c r="L845">
        <f t="shared" si="40"/>
        <v>1</v>
      </c>
      <c r="M845">
        <v>10</v>
      </c>
      <c r="N845">
        <v>1</v>
      </c>
      <c r="O845">
        <f t="shared" si="41"/>
        <v>0</v>
      </c>
    </row>
    <row r="846" spans="1:15" x14ac:dyDescent="0.3">
      <c r="A846" t="s">
        <v>15</v>
      </c>
      <c r="B846" t="s">
        <v>207</v>
      </c>
      <c r="C846" t="s">
        <v>208</v>
      </c>
      <c r="D846">
        <v>2</v>
      </c>
      <c r="E846" t="s">
        <v>33</v>
      </c>
      <c r="F846" t="s">
        <v>34</v>
      </c>
      <c r="G846">
        <v>43</v>
      </c>
      <c r="H846">
        <v>31</v>
      </c>
      <c r="I846">
        <v>74</v>
      </c>
      <c r="J846">
        <f t="shared" si="39"/>
        <v>12</v>
      </c>
      <c r="K846" t="s">
        <v>20</v>
      </c>
      <c r="L846">
        <f t="shared" si="40"/>
        <v>1</v>
      </c>
      <c r="M846">
        <v>8</v>
      </c>
      <c r="N846">
        <v>4</v>
      </c>
      <c r="O846">
        <f t="shared" si="41"/>
        <v>1</v>
      </c>
    </row>
    <row r="847" spans="1:15" x14ac:dyDescent="0.3">
      <c r="A847" t="s">
        <v>15</v>
      </c>
      <c r="B847" t="s">
        <v>207</v>
      </c>
      <c r="C847" t="s">
        <v>208</v>
      </c>
      <c r="D847">
        <v>2</v>
      </c>
      <c r="E847" t="s">
        <v>35</v>
      </c>
      <c r="F847" t="s">
        <v>36</v>
      </c>
      <c r="G847">
        <v>35</v>
      </c>
      <c r="H847">
        <v>43</v>
      </c>
      <c r="I847">
        <v>78</v>
      </c>
      <c r="J847">
        <f t="shared" si="39"/>
        <v>-8</v>
      </c>
      <c r="K847" t="s">
        <v>20</v>
      </c>
      <c r="L847">
        <f t="shared" si="40"/>
        <v>1</v>
      </c>
      <c r="M847">
        <v>8</v>
      </c>
      <c r="N847">
        <v>3</v>
      </c>
      <c r="O847">
        <f t="shared" si="41"/>
        <v>1</v>
      </c>
    </row>
    <row r="848" spans="1:15" x14ac:dyDescent="0.3">
      <c r="A848" t="s">
        <v>15</v>
      </c>
      <c r="B848" t="s">
        <v>207</v>
      </c>
      <c r="C848" t="s">
        <v>208</v>
      </c>
      <c r="D848">
        <v>2</v>
      </c>
      <c r="E848" t="s">
        <v>37</v>
      </c>
      <c r="F848" t="s">
        <v>38</v>
      </c>
      <c r="G848">
        <v>35</v>
      </c>
      <c r="H848">
        <v>46</v>
      </c>
      <c r="I848">
        <v>81</v>
      </c>
      <c r="J848">
        <f t="shared" si="39"/>
        <v>-11</v>
      </c>
      <c r="K848" t="s">
        <v>20</v>
      </c>
      <c r="L848">
        <f t="shared" si="40"/>
        <v>1</v>
      </c>
      <c r="M848">
        <v>8</v>
      </c>
      <c r="N848">
        <v>3</v>
      </c>
      <c r="O848">
        <f t="shared" si="41"/>
        <v>1</v>
      </c>
    </row>
    <row r="849" spans="1:15" x14ac:dyDescent="0.3">
      <c r="A849" t="s">
        <v>15</v>
      </c>
      <c r="B849" t="s">
        <v>207</v>
      </c>
      <c r="C849" t="s">
        <v>208</v>
      </c>
      <c r="D849">
        <v>1</v>
      </c>
      <c r="E849" t="s">
        <v>39</v>
      </c>
      <c r="F849" t="s">
        <v>40</v>
      </c>
      <c r="G849">
        <v>92</v>
      </c>
      <c r="H849">
        <v>0</v>
      </c>
      <c r="I849">
        <v>92</v>
      </c>
      <c r="J849">
        <f t="shared" si="39"/>
        <v>0</v>
      </c>
      <c r="K849" t="s">
        <v>20</v>
      </c>
      <c r="L849">
        <f t="shared" si="40"/>
        <v>1</v>
      </c>
      <c r="M849">
        <v>10</v>
      </c>
      <c r="N849">
        <v>1</v>
      </c>
      <c r="O849">
        <f t="shared" si="41"/>
        <v>0</v>
      </c>
    </row>
    <row r="850" spans="1:15" x14ac:dyDescent="0.3">
      <c r="A850" t="s">
        <v>15</v>
      </c>
      <c r="B850" t="s">
        <v>207</v>
      </c>
      <c r="C850" t="s">
        <v>208</v>
      </c>
      <c r="D850">
        <v>1</v>
      </c>
      <c r="E850" t="s">
        <v>41</v>
      </c>
      <c r="F850" t="s">
        <v>42</v>
      </c>
      <c r="G850">
        <v>21</v>
      </c>
      <c r="H850">
        <v>30</v>
      </c>
      <c r="I850">
        <v>51</v>
      </c>
      <c r="J850">
        <f t="shared" si="39"/>
        <v>-9</v>
      </c>
      <c r="K850" t="s">
        <v>20</v>
      </c>
      <c r="L850">
        <f t="shared" si="40"/>
        <v>1</v>
      </c>
      <c r="M850">
        <v>6</v>
      </c>
      <c r="N850">
        <v>3</v>
      </c>
      <c r="O850">
        <f t="shared" si="41"/>
        <v>1</v>
      </c>
    </row>
    <row r="851" spans="1:15" x14ac:dyDescent="0.3">
      <c r="A851" t="s">
        <v>15</v>
      </c>
      <c r="B851" t="s">
        <v>207</v>
      </c>
      <c r="C851" t="s">
        <v>208</v>
      </c>
      <c r="D851">
        <v>1</v>
      </c>
      <c r="E851" t="s">
        <v>43</v>
      </c>
      <c r="F851" t="s">
        <v>44</v>
      </c>
      <c r="G851">
        <v>84</v>
      </c>
      <c r="H851">
        <v>0</v>
      </c>
      <c r="I851">
        <v>84</v>
      </c>
      <c r="J851">
        <f t="shared" si="39"/>
        <v>0</v>
      </c>
      <c r="K851" t="s">
        <v>20</v>
      </c>
      <c r="L851">
        <f t="shared" si="40"/>
        <v>1</v>
      </c>
      <c r="M851">
        <v>9</v>
      </c>
      <c r="N851">
        <v>1</v>
      </c>
      <c r="O851">
        <f t="shared" si="41"/>
        <v>0</v>
      </c>
    </row>
    <row r="852" spans="1:15" x14ac:dyDescent="0.3">
      <c r="A852" t="s">
        <v>15</v>
      </c>
      <c r="B852" t="s">
        <v>207</v>
      </c>
      <c r="C852" t="s">
        <v>208</v>
      </c>
      <c r="D852">
        <v>1</v>
      </c>
      <c r="E852" t="s">
        <v>45</v>
      </c>
      <c r="F852" t="s">
        <v>46</v>
      </c>
      <c r="G852">
        <v>26</v>
      </c>
      <c r="H852">
        <v>44</v>
      </c>
      <c r="I852">
        <v>70</v>
      </c>
      <c r="J852">
        <f t="shared" si="39"/>
        <v>-18</v>
      </c>
      <c r="K852" t="s">
        <v>20</v>
      </c>
      <c r="L852">
        <f t="shared" si="40"/>
        <v>1</v>
      </c>
      <c r="M852">
        <v>7</v>
      </c>
      <c r="N852">
        <v>1</v>
      </c>
      <c r="O852">
        <f t="shared" si="41"/>
        <v>1</v>
      </c>
    </row>
    <row r="853" spans="1:15" x14ac:dyDescent="0.3">
      <c r="A853" t="s">
        <v>15</v>
      </c>
      <c r="B853" t="s">
        <v>207</v>
      </c>
      <c r="C853" t="s">
        <v>208</v>
      </c>
      <c r="D853">
        <v>1</v>
      </c>
      <c r="E853" t="s">
        <v>47</v>
      </c>
      <c r="F853" t="s">
        <v>48</v>
      </c>
      <c r="G853">
        <v>55</v>
      </c>
      <c r="H853">
        <v>0</v>
      </c>
      <c r="I853">
        <v>55</v>
      </c>
      <c r="J853">
        <f t="shared" si="39"/>
        <v>0</v>
      </c>
      <c r="K853" t="s">
        <v>20</v>
      </c>
      <c r="L853">
        <f t="shared" si="40"/>
        <v>1</v>
      </c>
      <c r="M853">
        <v>5</v>
      </c>
      <c r="N853">
        <v>1</v>
      </c>
      <c r="O853">
        <f t="shared" si="41"/>
        <v>0</v>
      </c>
    </row>
    <row r="854" spans="1:15" x14ac:dyDescent="0.3">
      <c r="A854" t="s">
        <v>15</v>
      </c>
      <c r="B854" t="s">
        <v>207</v>
      </c>
      <c r="C854" t="s">
        <v>208</v>
      </c>
      <c r="D854">
        <v>1</v>
      </c>
      <c r="E854" t="s">
        <v>49</v>
      </c>
      <c r="F854" t="s">
        <v>50</v>
      </c>
      <c r="G854">
        <v>90</v>
      </c>
      <c r="H854">
        <v>0</v>
      </c>
      <c r="I854">
        <v>90</v>
      </c>
      <c r="J854">
        <f t="shared" si="39"/>
        <v>0</v>
      </c>
      <c r="K854" t="s">
        <v>20</v>
      </c>
      <c r="L854">
        <f t="shared" si="40"/>
        <v>1</v>
      </c>
      <c r="M854">
        <v>9</v>
      </c>
      <c r="N854">
        <v>1</v>
      </c>
      <c r="O854">
        <f t="shared" si="41"/>
        <v>0</v>
      </c>
    </row>
    <row r="855" spans="1:15" x14ac:dyDescent="0.3">
      <c r="A855" t="s">
        <v>15</v>
      </c>
      <c r="B855" t="s">
        <v>207</v>
      </c>
      <c r="C855" t="s">
        <v>208</v>
      </c>
      <c r="D855">
        <v>1</v>
      </c>
      <c r="E855" t="s">
        <v>51</v>
      </c>
      <c r="F855" t="s">
        <v>52</v>
      </c>
      <c r="G855">
        <v>80</v>
      </c>
      <c r="H855">
        <v>0</v>
      </c>
      <c r="I855">
        <v>80</v>
      </c>
      <c r="J855">
        <f t="shared" si="39"/>
        <v>0</v>
      </c>
      <c r="K855" t="s">
        <v>20</v>
      </c>
      <c r="L855">
        <f t="shared" si="40"/>
        <v>1</v>
      </c>
      <c r="M855">
        <v>8</v>
      </c>
      <c r="N855">
        <v>1</v>
      </c>
      <c r="O855">
        <f t="shared" si="41"/>
        <v>0</v>
      </c>
    </row>
    <row r="856" spans="1:15" x14ac:dyDescent="0.3">
      <c r="A856" t="s">
        <v>15</v>
      </c>
      <c r="B856" t="s">
        <v>207</v>
      </c>
      <c r="C856" t="s">
        <v>208</v>
      </c>
      <c r="D856">
        <v>1</v>
      </c>
      <c r="E856" t="s">
        <v>53</v>
      </c>
      <c r="F856" t="s">
        <v>54</v>
      </c>
      <c r="G856">
        <v>41</v>
      </c>
      <c r="H856">
        <v>35</v>
      </c>
      <c r="I856">
        <v>76</v>
      </c>
      <c r="J856">
        <f t="shared" si="39"/>
        <v>6</v>
      </c>
      <c r="K856" t="s">
        <v>20</v>
      </c>
      <c r="L856">
        <f t="shared" si="40"/>
        <v>1</v>
      </c>
      <c r="M856">
        <v>8</v>
      </c>
      <c r="N856">
        <v>4</v>
      </c>
      <c r="O856">
        <f t="shared" si="41"/>
        <v>1</v>
      </c>
    </row>
    <row r="857" spans="1:15" x14ac:dyDescent="0.3">
      <c r="A857" t="s">
        <v>15</v>
      </c>
      <c r="B857" t="s">
        <v>207</v>
      </c>
      <c r="C857" t="s">
        <v>208</v>
      </c>
      <c r="D857">
        <v>1</v>
      </c>
      <c r="E857" t="s">
        <v>55</v>
      </c>
      <c r="F857" t="s">
        <v>56</v>
      </c>
      <c r="G857">
        <v>31</v>
      </c>
      <c r="H857">
        <v>36</v>
      </c>
      <c r="I857">
        <v>67</v>
      </c>
      <c r="J857">
        <f t="shared" si="39"/>
        <v>-5</v>
      </c>
      <c r="K857" t="s">
        <v>20</v>
      </c>
      <c r="L857">
        <f t="shared" si="40"/>
        <v>1</v>
      </c>
      <c r="M857">
        <v>7</v>
      </c>
      <c r="N857">
        <v>3</v>
      </c>
      <c r="O857">
        <f t="shared" si="41"/>
        <v>1</v>
      </c>
    </row>
    <row r="858" spans="1:15" x14ac:dyDescent="0.3">
      <c r="A858" t="s">
        <v>15</v>
      </c>
      <c r="B858" t="s">
        <v>207</v>
      </c>
      <c r="C858" t="s">
        <v>208</v>
      </c>
      <c r="D858">
        <v>1</v>
      </c>
      <c r="E858" t="s">
        <v>57</v>
      </c>
      <c r="F858" t="s">
        <v>58</v>
      </c>
      <c r="G858">
        <v>38</v>
      </c>
      <c r="H858">
        <v>46</v>
      </c>
      <c r="I858">
        <v>84</v>
      </c>
      <c r="J858">
        <f t="shared" si="39"/>
        <v>-8</v>
      </c>
      <c r="K858" t="s">
        <v>20</v>
      </c>
      <c r="L858">
        <f t="shared" si="40"/>
        <v>1</v>
      </c>
      <c r="M858">
        <v>9</v>
      </c>
      <c r="N858">
        <v>4</v>
      </c>
      <c r="O858">
        <f t="shared" si="41"/>
        <v>1</v>
      </c>
    </row>
    <row r="859" spans="1:15" x14ac:dyDescent="0.3">
      <c r="A859" t="s">
        <v>15</v>
      </c>
      <c r="B859" t="s">
        <v>209</v>
      </c>
      <c r="C859" t="s">
        <v>210</v>
      </c>
      <c r="D859">
        <v>2</v>
      </c>
      <c r="E859" t="s">
        <v>33</v>
      </c>
      <c r="F859" t="s">
        <v>34</v>
      </c>
      <c r="G859">
        <v>34</v>
      </c>
      <c r="H859">
        <v>11</v>
      </c>
      <c r="I859">
        <v>45</v>
      </c>
      <c r="J859">
        <f t="shared" si="39"/>
        <v>23</v>
      </c>
      <c r="K859" t="s">
        <v>87</v>
      </c>
      <c r="L859">
        <f t="shared" si="40"/>
        <v>0</v>
      </c>
      <c r="M859">
        <v>0</v>
      </c>
      <c r="N859">
        <v>4</v>
      </c>
      <c r="O859">
        <f t="shared" si="41"/>
        <v>1</v>
      </c>
    </row>
    <row r="860" spans="1:15" x14ac:dyDescent="0.3">
      <c r="A860" t="s">
        <v>15</v>
      </c>
      <c r="B860" t="s">
        <v>209</v>
      </c>
      <c r="C860" t="s">
        <v>210</v>
      </c>
      <c r="D860">
        <v>2</v>
      </c>
      <c r="E860" t="s">
        <v>18</v>
      </c>
      <c r="F860" t="s">
        <v>19</v>
      </c>
      <c r="G860">
        <v>43</v>
      </c>
      <c r="H860">
        <v>40</v>
      </c>
      <c r="I860">
        <v>83</v>
      </c>
      <c r="J860">
        <f t="shared" si="39"/>
        <v>3</v>
      </c>
      <c r="K860" t="s">
        <v>20</v>
      </c>
      <c r="L860">
        <f t="shared" si="40"/>
        <v>1</v>
      </c>
      <c r="M860">
        <v>8</v>
      </c>
      <c r="N860">
        <v>4</v>
      </c>
      <c r="O860">
        <f t="shared" si="41"/>
        <v>1</v>
      </c>
    </row>
    <row r="861" spans="1:15" x14ac:dyDescent="0.3">
      <c r="A861" t="s">
        <v>15</v>
      </c>
      <c r="B861" t="s">
        <v>209</v>
      </c>
      <c r="C861" t="s">
        <v>210</v>
      </c>
      <c r="D861">
        <v>2</v>
      </c>
      <c r="E861" t="s">
        <v>21</v>
      </c>
      <c r="F861" t="s">
        <v>22</v>
      </c>
      <c r="G861">
        <v>44</v>
      </c>
      <c r="H861">
        <v>25</v>
      </c>
      <c r="I861">
        <v>69</v>
      </c>
      <c r="J861">
        <f t="shared" si="39"/>
        <v>19</v>
      </c>
      <c r="K861" t="s">
        <v>20</v>
      </c>
      <c r="L861">
        <f t="shared" si="40"/>
        <v>1</v>
      </c>
      <c r="M861">
        <v>7</v>
      </c>
      <c r="N861">
        <v>4</v>
      </c>
      <c r="O861">
        <f t="shared" si="41"/>
        <v>1</v>
      </c>
    </row>
    <row r="862" spans="1:15" x14ac:dyDescent="0.3">
      <c r="A862" t="s">
        <v>15</v>
      </c>
      <c r="B862" t="s">
        <v>209</v>
      </c>
      <c r="C862" t="s">
        <v>210</v>
      </c>
      <c r="D862">
        <v>2</v>
      </c>
      <c r="E862" t="s">
        <v>41</v>
      </c>
      <c r="F862" t="s">
        <v>42</v>
      </c>
      <c r="G862">
        <v>19</v>
      </c>
      <c r="H862">
        <v>31</v>
      </c>
      <c r="I862">
        <v>50</v>
      </c>
      <c r="J862">
        <f t="shared" si="39"/>
        <v>-12</v>
      </c>
      <c r="K862" t="s">
        <v>20</v>
      </c>
      <c r="L862">
        <f t="shared" si="40"/>
        <v>1</v>
      </c>
      <c r="M862">
        <v>5</v>
      </c>
      <c r="N862">
        <v>3</v>
      </c>
      <c r="O862">
        <f t="shared" si="41"/>
        <v>1</v>
      </c>
    </row>
    <row r="863" spans="1:15" x14ac:dyDescent="0.3">
      <c r="A863" t="s">
        <v>15</v>
      </c>
      <c r="B863" t="s">
        <v>209</v>
      </c>
      <c r="C863" t="s">
        <v>210</v>
      </c>
      <c r="D863">
        <v>2</v>
      </c>
      <c r="E863" t="s">
        <v>23</v>
      </c>
      <c r="F863" t="s">
        <v>24</v>
      </c>
      <c r="G863">
        <v>91</v>
      </c>
      <c r="H863">
        <v>0</v>
      </c>
      <c r="I863">
        <v>91</v>
      </c>
      <c r="J863">
        <f t="shared" si="39"/>
        <v>0</v>
      </c>
      <c r="K863" t="s">
        <v>20</v>
      </c>
      <c r="L863">
        <f t="shared" si="40"/>
        <v>1</v>
      </c>
      <c r="M863">
        <v>10</v>
      </c>
      <c r="N863">
        <v>1</v>
      </c>
      <c r="O863">
        <f t="shared" si="41"/>
        <v>0</v>
      </c>
    </row>
    <row r="864" spans="1:15" x14ac:dyDescent="0.3">
      <c r="A864" t="s">
        <v>15</v>
      </c>
      <c r="B864" t="s">
        <v>209</v>
      </c>
      <c r="C864" t="s">
        <v>210</v>
      </c>
      <c r="D864">
        <v>2</v>
      </c>
      <c r="E864" t="s">
        <v>25</v>
      </c>
      <c r="F864" t="s">
        <v>26</v>
      </c>
      <c r="G864">
        <v>38</v>
      </c>
      <c r="H864">
        <v>37</v>
      </c>
      <c r="I864">
        <v>75</v>
      </c>
      <c r="J864">
        <f t="shared" si="39"/>
        <v>1</v>
      </c>
      <c r="K864" t="s">
        <v>20</v>
      </c>
      <c r="L864">
        <f t="shared" si="40"/>
        <v>1</v>
      </c>
      <c r="M864">
        <v>8</v>
      </c>
      <c r="N864">
        <v>1</v>
      </c>
      <c r="O864">
        <f t="shared" si="41"/>
        <v>1</v>
      </c>
    </row>
    <row r="865" spans="1:15" x14ac:dyDescent="0.3">
      <c r="A865" t="s">
        <v>15</v>
      </c>
      <c r="B865" t="s">
        <v>209</v>
      </c>
      <c r="C865" t="s">
        <v>210</v>
      </c>
      <c r="D865">
        <v>2</v>
      </c>
      <c r="E865" t="s">
        <v>27</v>
      </c>
      <c r="F865" t="s">
        <v>28</v>
      </c>
      <c r="G865">
        <v>34</v>
      </c>
      <c r="H865">
        <v>43</v>
      </c>
      <c r="I865">
        <v>77</v>
      </c>
      <c r="J865">
        <f t="shared" si="39"/>
        <v>-9</v>
      </c>
      <c r="K865" t="s">
        <v>20</v>
      </c>
      <c r="L865">
        <f t="shared" si="40"/>
        <v>1</v>
      </c>
      <c r="M865">
        <v>8</v>
      </c>
      <c r="N865">
        <v>2</v>
      </c>
      <c r="O865">
        <f t="shared" si="41"/>
        <v>1</v>
      </c>
    </row>
    <row r="866" spans="1:15" x14ac:dyDescent="0.3">
      <c r="A866" t="s">
        <v>15</v>
      </c>
      <c r="B866" t="s">
        <v>209</v>
      </c>
      <c r="C866" t="s">
        <v>210</v>
      </c>
      <c r="D866">
        <v>2</v>
      </c>
      <c r="E866" t="s">
        <v>211</v>
      </c>
      <c r="F866" t="s">
        <v>212</v>
      </c>
      <c r="G866">
        <v>77</v>
      </c>
      <c r="H866">
        <v>0</v>
      </c>
      <c r="I866">
        <v>77</v>
      </c>
      <c r="J866">
        <f t="shared" si="39"/>
        <v>0</v>
      </c>
      <c r="K866" t="s">
        <v>20</v>
      </c>
      <c r="L866">
        <f t="shared" si="40"/>
        <v>1</v>
      </c>
      <c r="M866">
        <v>8</v>
      </c>
      <c r="N866">
        <v>1</v>
      </c>
      <c r="O866">
        <f t="shared" si="41"/>
        <v>0</v>
      </c>
    </row>
    <row r="867" spans="1:15" x14ac:dyDescent="0.3">
      <c r="A867" t="s">
        <v>15</v>
      </c>
      <c r="B867" t="s">
        <v>209</v>
      </c>
      <c r="C867" t="s">
        <v>210</v>
      </c>
      <c r="D867">
        <v>2</v>
      </c>
      <c r="E867" t="s">
        <v>31</v>
      </c>
      <c r="F867" t="s">
        <v>32</v>
      </c>
      <c r="G867">
        <v>94</v>
      </c>
      <c r="H867">
        <v>0</v>
      </c>
      <c r="I867">
        <v>94</v>
      </c>
      <c r="J867">
        <f t="shared" si="39"/>
        <v>0</v>
      </c>
      <c r="K867" t="s">
        <v>20</v>
      </c>
      <c r="L867">
        <f t="shared" si="40"/>
        <v>1</v>
      </c>
      <c r="M867">
        <v>10</v>
      </c>
      <c r="N867">
        <v>1</v>
      </c>
      <c r="O867">
        <f t="shared" si="41"/>
        <v>0</v>
      </c>
    </row>
    <row r="868" spans="1:15" x14ac:dyDescent="0.3">
      <c r="A868" t="s">
        <v>15</v>
      </c>
      <c r="B868" t="s">
        <v>209</v>
      </c>
      <c r="C868" t="s">
        <v>210</v>
      </c>
      <c r="D868">
        <v>2</v>
      </c>
      <c r="E868" t="s">
        <v>35</v>
      </c>
      <c r="F868" t="s">
        <v>36</v>
      </c>
      <c r="G868">
        <v>20</v>
      </c>
      <c r="H868">
        <v>40</v>
      </c>
      <c r="I868">
        <v>60</v>
      </c>
      <c r="J868">
        <f t="shared" si="39"/>
        <v>-20</v>
      </c>
      <c r="K868" t="s">
        <v>20</v>
      </c>
      <c r="L868">
        <f t="shared" si="40"/>
        <v>1</v>
      </c>
      <c r="M868">
        <v>6</v>
      </c>
      <c r="N868">
        <v>3</v>
      </c>
      <c r="O868">
        <f t="shared" si="41"/>
        <v>1</v>
      </c>
    </row>
    <row r="869" spans="1:15" x14ac:dyDescent="0.3">
      <c r="A869" t="s">
        <v>15</v>
      </c>
      <c r="B869" t="s">
        <v>209</v>
      </c>
      <c r="C869" t="s">
        <v>210</v>
      </c>
      <c r="D869">
        <v>2</v>
      </c>
      <c r="E869" t="s">
        <v>37</v>
      </c>
      <c r="F869" t="s">
        <v>38</v>
      </c>
      <c r="G869">
        <v>24</v>
      </c>
      <c r="H869">
        <v>53</v>
      </c>
      <c r="I869">
        <v>77</v>
      </c>
      <c r="J869">
        <f t="shared" si="39"/>
        <v>-29</v>
      </c>
      <c r="K869" t="s">
        <v>20</v>
      </c>
      <c r="L869">
        <f t="shared" si="40"/>
        <v>1</v>
      </c>
      <c r="M869">
        <v>8</v>
      </c>
      <c r="N869">
        <v>3</v>
      </c>
      <c r="O869">
        <f t="shared" si="41"/>
        <v>1</v>
      </c>
    </row>
    <row r="870" spans="1:15" x14ac:dyDescent="0.3">
      <c r="A870" t="s">
        <v>15</v>
      </c>
      <c r="B870" t="s">
        <v>209</v>
      </c>
      <c r="C870" t="s">
        <v>210</v>
      </c>
      <c r="D870">
        <v>1</v>
      </c>
      <c r="E870" t="s">
        <v>39</v>
      </c>
      <c r="F870" t="s">
        <v>40</v>
      </c>
      <c r="G870">
        <v>93</v>
      </c>
      <c r="H870">
        <v>0</v>
      </c>
      <c r="I870">
        <v>93</v>
      </c>
      <c r="J870">
        <f t="shared" si="39"/>
        <v>0</v>
      </c>
      <c r="K870" t="s">
        <v>20</v>
      </c>
      <c r="L870">
        <f t="shared" si="40"/>
        <v>1</v>
      </c>
      <c r="M870">
        <v>10</v>
      </c>
      <c r="N870">
        <v>1</v>
      </c>
      <c r="O870">
        <f t="shared" si="41"/>
        <v>0</v>
      </c>
    </row>
    <row r="871" spans="1:15" x14ac:dyDescent="0.3">
      <c r="A871" t="s">
        <v>15</v>
      </c>
      <c r="B871" t="s">
        <v>209</v>
      </c>
      <c r="C871" t="s">
        <v>210</v>
      </c>
      <c r="D871">
        <v>1</v>
      </c>
      <c r="E871" t="s">
        <v>41</v>
      </c>
      <c r="F871" t="s">
        <v>42</v>
      </c>
      <c r="G871">
        <v>19</v>
      </c>
      <c r="H871">
        <v>16</v>
      </c>
      <c r="I871">
        <v>35</v>
      </c>
      <c r="J871">
        <f t="shared" si="39"/>
        <v>3</v>
      </c>
      <c r="K871" t="s">
        <v>87</v>
      </c>
      <c r="L871">
        <f t="shared" si="40"/>
        <v>0</v>
      </c>
      <c r="M871">
        <v>0</v>
      </c>
      <c r="N871">
        <v>3</v>
      </c>
      <c r="O871">
        <f t="shared" si="41"/>
        <v>1</v>
      </c>
    </row>
    <row r="872" spans="1:15" x14ac:dyDescent="0.3">
      <c r="A872" t="s">
        <v>15</v>
      </c>
      <c r="B872" t="s">
        <v>209</v>
      </c>
      <c r="C872" t="s">
        <v>210</v>
      </c>
      <c r="D872">
        <v>1</v>
      </c>
      <c r="E872" t="s">
        <v>43</v>
      </c>
      <c r="F872" t="s">
        <v>44</v>
      </c>
      <c r="G872">
        <v>62</v>
      </c>
      <c r="H872">
        <v>0</v>
      </c>
      <c r="I872">
        <v>62</v>
      </c>
      <c r="J872">
        <f t="shared" si="39"/>
        <v>0</v>
      </c>
      <c r="K872" t="s">
        <v>20</v>
      </c>
      <c r="L872">
        <f t="shared" si="40"/>
        <v>1</v>
      </c>
      <c r="M872">
        <v>7</v>
      </c>
      <c r="N872">
        <v>1</v>
      </c>
      <c r="O872">
        <f t="shared" si="41"/>
        <v>0</v>
      </c>
    </row>
    <row r="873" spans="1:15" x14ac:dyDescent="0.3">
      <c r="A873" t="s">
        <v>15</v>
      </c>
      <c r="B873" t="s">
        <v>209</v>
      </c>
      <c r="C873" t="s">
        <v>210</v>
      </c>
      <c r="D873">
        <v>1</v>
      </c>
      <c r="E873" t="s">
        <v>45</v>
      </c>
      <c r="F873" t="s">
        <v>46</v>
      </c>
      <c r="G873">
        <v>34</v>
      </c>
      <c r="H873">
        <v>43</v>
      </c>
      <c r="I873">
        <v>77</v>
      </c>
      <c r="J873">
        <f t="shared" si="39"/>
        <v>-9</v>
      </c>
      <c r="K873" t="s">
        <v>20</v>
      </c>
      <c r="L873">
        <f t="shared" si="40"/>
        <v>1</v>
      </c>
      <c r="M873">
        <v>8</v>
      </c>
      <c r="N873">
        <v>1</v>
      </c>
      <c r="O873">
        <f t="shared" si="41"/>
        <v>1</v>
      </c>
    </row>
    <row r="874" spans="1:15" x14ac:dyDescent="0.3">
      <c r="A874" t="s">
        <v>15</v>
      </c>
      <c r="B874" t="s">
        <v>209</v>
      </c>
      <c r="C874" t="s">
        <v>210</v>
      </c>
      <c r="D874">
        <v>1</v>
      </c>
      <c r="E874" t="s">
        <v>88</v>
      </c>
      <c r="F874" t="s">
        <v>89</v>
      </c>
      <c r="G874">
        <v>99</v>
      </c>
      <c r="H874">
        <v>0</v>
      </c>
      <c r="I874">
        <v>99</v>
      </c>
      <c r="J874">
        <f t="shared" si="39"/>
        <v>0</v>
      </c>
      <c r="K874" t="s">
        <v>20</v>
      </c>
      <c r="L874">
        <f t="shared" si="40"/>
        <v>1</v>
      </c>
      <c r="M874">
        <v>10</v>
      </c>
      <c r="N874">
        <v>1</v>
      </c>
      <c r="O874">
        <f t="shared" si="41"/>
        <v>0</v>
      </c>
    </row>
    <row r="875" spans="1:15" x14ac:dyDescent="0.3">
      <c r="A875" t="s">
        <v>15</v>
      </c>
      <c r="B875" t="s">
        <v>209</v>
      </c>
      <c r="C875" t="s">
        <v>210</v>
      </c>
      <c r="D875">
        <v>1</v>
      </c>
      <c r="E875" t="s">
        <v>49</v>
      </c>
      <c r="F875" t="s">
        <v>50</v>
      </c>
      <c r="G875">
        <v>90</v>
      </c>
      <c r="H875">
        <v>0</v>
      </c>
      <c r="I875">
        <v>90</v>
      </c>
      <c r="J875">
        <f t="shared" si="39"/>
        <v>0</v>
      </c>
      <c r="K875" t="s">
        <v>20</v>
      </c>
      <c r="L875">
        <f t="shared" si="40"/>
        <v>1</v>
      </c>
      <c r="M875">
        <v>9</v>
      </c>
      <c r="N875">
        <v>1</v>
      </c>
      <c r="O875">
        <f t="shared" si="41"/>
        <v>0</v>
      </c>
    </row>
    <row r="876" spans="1:15" x14ac:dyDescent="0.3">
      <c r="A876" t="s">
        <v>15</v>
      </c>
      <c r="B876" t="s">
        <v>209</v>
      </c>
      <c r="C876" t="s">
        <v>210</v>
      </c>
      <c r="D876">
        <v>1</v>
      </c>
      <c r="E876" t="s">
        <v>51</v>
      </c>
      <c r="F876" t="s">
        <v>52</v>
      </c>
      <c r="G876">
        <v>86</v>
      </c>
      <c r="H876">
        <v>0</v>
      </c>
      <c r="I876">
        <v>86</v>
      </c>
      <c r="J876">
        <f t="shared" si="39"/>
        <v>0</v>
      </c>
      <c r="K876" t="s">
        <v>20</v>
      </c>
      <c r="L876">
        <f t="shared" si="40"/>
        <v>1</v>
      </c>
      <c r="M876">
        <v>9</v>
      </c>
      <c r="N876">
        <v>1</v>
      </c>
      <c r="O876">
        <f t="shared" si="41"/>
        <v>0</v>
      </c>
    </row>
    <row r="877" spans="1:15" x14ac:dyDescent="0.3">
      <c r="A877" t="s">
        <v>15</v>
      </c>
      <c r="B877" t="s">
        <v>209</v>
      </c>
      <c r="C877" t="s">
        <v>210</v>
      </c>
      <c r="D877">
        <v>1</v>
      </c>
      <c r="E877" t="s">
        <v>53</v>
      </c>
      <c r="F877" t="s">
        <v>54</v>
      </c>
      <c r="G877">
        <v>34</v>
      </c>
      <c r="H877">
        <v>23</v>
      </c>
      <c r="I877">
        <v>57</v>
      </c>
      <c r="J877">
        <f t="shared" si="39"/>
        <v>11</v>
      </c>
      <c r="K877" t="s">
        <v>20</v>
      </c>
      <c r="L877">
        <f t="shared" si="40"/>
        <v>1</v>
      </c>
      <c r="M877">
        <v>6</v>
      </c>
      <c r="N877">
        <v>4</v>
      </c>
      <c r="O877">
        <f t="shared" si="41"/>
        <v>1</v>
      </c>
    </row>
    <row r="878" spans="1:15" x14ac:dyDescent="0.3">
      <c r="A878" t="s">
        <v>15</v>
      </c>
      <c r="B878" t="s">
        <v>209</v>
      </c>
      <c r="C878" t="s">
        <v>210</v>
      </c>
      <c r="D878">
        <v>1</v>
      </c>
      <c r="E878" t="s">
        <v>55</v>
      </c>
      <c r="F878" t="s">
        <v>56</v>
      </c>
      <c r="G878">
        <v>30</v>
      </c>
      <c r="H878">
        <v>40</v>
      </c>
      <c r="I878">
        <v>70</v>
      </c>
      <c r="J878">
        <f t="shared" si="39"/>
        <v>-10</v>
      </c>
      <c r="K878" t="s">
        <v>20</v>
      </c>
      <c r="L878">
        <f t="shared" si="40"/>
        <v>1</v>
      </c>
      <c r="M878">
        <v>7</v>
      </c>
      <c r="N878">
        <v>3</v>
      </c>
      <c r="O878">
        <f t="shared" si="41"/>
        <v>1</v>
      </c>
    </row>
    <row r="879" spans="1:15" x14ac:dyDescent="0.3">
      <c r="A879" t="s">
        <v>15</v>
      </c>
      <c r="B879" t="s">
        <v>209</v>
      </c>
      <c r="C879" t="s">
        <v>210</v>
      </c>
      <c r="D879">
        <v>1</v>
      </c>
      <c r="E879" t="s">
        <v>57</v>
      </c>
      <c r="F879" t="s">
        <v>58</v>
      </c>
      <c r="G879">
        <v>36</v>
      </c>
      <c r="H879">
        <v>32</v>
      </c>
      <c r="I879">
        <v>68</v>
      </c>
      <c r="J879">
        <f t="shared" si="39"/>
        <v>4</v>
      </c>
      <c r="K879" t="s">
        <v>20</v>
      </c>
      <c r="L879">
        <f t="shared" si="40"/>
        <v>1</v>
      </c>
      <c r="M879">
        <v>8</v>
      </c>
      <c r="N879">
        <v>4</v>
      </c>
      <c r="O879">
        <f t="shared" si="41"/>
        <v>1</v>
      </c>
    </row>
    <row r="880" spans="1:15" x14ac:dyDescent="0.3">
      <c r="A880" t="s">
        <v>15</v>
      </c>
      <c r="B880" t="s">
        <v>213</v>
      </c>
      <c r="C880" t="s">
        <v>214</v>
      </c>
      <c r="D880">
        <v>2</v>
      </c>
      <c r="E880" t="s">
        <v>18</v>
      </c>
      <c r="F880" t="s">
        <v>19</v>
      </c>
      <c r="G880">
        <v>46</v>
      </c>
      <c r="H880">
        <v>33</v>
      </c>
      <c r="I880">
        <v>79</v>
      </c>
      <c r="J880">
        <f t="shared" si="39"/>
        <v>13</v>
      </c>
      <c r="K880" t="s">
        <v>20</v>
      </c>
      <c r="L880">
        <f t="shared" si="40"/>
        <v>1</v>
      </c>
      <c r="M880">
        <v>8</v>
      </c>
      <c r="N880">
        <v>4</v>
      </c>
      <c r="O880">
        <f t="shared" si="41"/>
        <v>1</v>
      </c>
    </row>
    <row r="881" spans="1:15" x14ac:dyDescent="0.3">
      <c r="A881" t="s">
        <v>15</v>
      </c>
      <c r="B881" t="s">
        <v>213</v>
      </c>
      <c r="C881" t="s">
        <v>214</v>
      </c>
      <c r="D881">
        <v>2</v>
      </c>
      <c r="E881" t="s">
        <v>21</v>
      </c>
      <c r="F881" t="s">
        <v>22</v>
      </c>
      <c r="G881">
        <v>41</v>
      </c>
      <c r="H881">
        <v>29</v>
      </c>
      <c r="I881">
        <v>70</v>
      </c>
      <c r="J881">
        <f t="shared" si="39"/>
        <v>12</v>
      </c>
      <c r="K881" t="s">
        <v>20</v>
      </c>
      <c r="L881">
        <f t="shared" si="40"/>
        <v>1</v>
      </c>
      <c r="M881">
        <v>7</v>
      </c>
      <c r="N881">
        <v>4</v>
      </c>
      <c r="O881">
        <f t="shared" si="41"/>
        <v>1</v>
      </c>
    </row>
    <row r="882" spans="1:15" x14ac:dyDescent="0.3">
      <c r="A882" t="s">
        <v>15</v>
      </c>
      <c r="B882" t="s">
        <v>213</v>
      </c>
      <c r="C882" t="s">
        <v>214</v>
      </c>
      <c r="D882">
        <v>2</v>
      </c>
      <c r="E882" t="s">
        <v>23</v>
      </c>
      <c r="F882" t="s">
        <v>24</v>
      </c>
      <c r="G882">
        <v>82</v>
      </c>
      <c r="H882">
        <v>0</v>
      </c>
      <c r="I882">
        <v>82</v>
      </c>
      <c r="J882">
        <f t="shared" si="39"/>
        <v>0</v>
      </c>
      <c r="K882" t="s">
        <v>20</v>
      </c>
      <c r="L882">
        <f t="shared" si="40"/>
        <v>1</v>
      </c>
      <c r="M882">
        <v>9</v>
      </c>
      <c r="N882">
        <v>1</v>
      </c>
      <c r="O882">
        <f t="shared" si="41"/>
        <v>0</v>
      </c>
    </row>
    <row r="883" spans="1:15" x14ac:dyDescent="0.3">
      <c r="A883" t="s">
        <v>15</v>
      </c>
      <c r="B883" t="s">
        <v>213</v>
      </c>
      <c r="C883" t="s">
        <v>214</v>
      </c>
      <c r="D883">
        <v>2</v>
      </c>
      <c r="E883" t="s">
        <v>25</v>
      </c>
      <c r="F883" t="s">
        <v>26</v>
      </c>
      <c r="G883">
        <v>42</v>
      </c>
      <c r="H883">
        <v>36</v>
      </c>
      <c r="I883">
        <v>78</v>
      </c>
      <c r="J883">
        <f t="shared" si="39"/>
        <v>6</v>
      </c>
      <c r="K883" t="s">
        <v>20</v>
      </c>
      <c r="L883">
        <f t="shared" si="40"/>
        <v>1</v>
      </c>
      <c r="M883">
        <v>8</v>
      </c>
      <c r="N883">
        <v>1</v>
      </c>
      <c r="O883">
        <f t="shared" si="41"/>
        <v>1</v>
      </c>
    </row>
    <row r="884" spans="1:15" x14ac:dyDescent="0.3">
      <c r="A884" t="s">
        <v>15</v>
      </c>
      <c r="B884" t="s">
        <v>213</v>
      </c>
      <c r="C884" t="s">
        <v>214</v>
      </c>
      <c r="D884">
        <v>2</v>
      </c>
      <c r="E884" t="s">
        <v>61</v>
      </c>
      <c r="F884" t="s">
        <v>62</v>
      </c>
      <c r="G884">
        <v>20</v>
      </c>
      <c r="H884">
        <v>43</v>
      </c>
      <c r="I884">
        <v>63</v>
      </c>
      <c r="J884">
        <f t="shared" si="39"/>
        <v>-23</v>
      </c>
      <c r="K884" t="s">
        <v>20</v>
      </c>
      <c r="L884">
        <f t="shared" si="40"/>
        <v>1</v>
      </c>
      <c r="M884">
        <v>7</v>
      </c>
      <c r="N884">
        <v>2</v>
      </c>
      <c r="O884">
        <f t="shared" si="41"/>
        <v>1</v>
      </c>
    </row>
    <row r="885" spans="1:15" x14ac:dyDescent="0.3">
      <c r="A885" t="s">
        <v>15</v>
      </c>
      <c r="B885" t="s">
        <v>213</v>
      </c>
      <c r="C885" t="s">
        <v>214</v>
      </c>
      <c r="D885">
        <v>2</v>
      </c>
      <c r="E885" t="s">
        <v>65</v>
      </c>
      <c r="F885" t="s">
        <v>66</v>
      </c>
      <c r="G885">
        <v>86</v>
      </c>
      <c r="H885">
        <v>0</v>
      </c>
      <c r="I885">
        <v>86</v>
      </c>
      <c r="J885">
        <f t="shared" si="39"/>
        <v>0</v>
      </c>
      <c r="K885" t="s">
        <v>20</v>
      </c>
      <c r="L885">
        <f t="shared" si="40"/>
        <v>1</v>
      </c>
      <c r="M885">
        <v>9</v>
      </c>
      <c r="N885">
        <v>1</v>
      </c>
      <c r="O885">
        <f t="shared" si="41"/>
        <v>0</v>
      </c>
    </row>
    <row r="886" spans="1:15" x14ac:dyDescent="0.3">
      <c r="A886" t="s">
        <v>15</v>
      </c>
      <c r="B886" t="s">
        <v>213</v>
      </c>
      <c r="C886" t="s">
        <v>214</v>
      </c>
      <c r="D886">
        <v>2</v>
      </c>
      <c r="E886" t="s">
        <v>31</v>
      </c>
      <c r="F886" t="s">
        <v>32</v>
      </c>
      <c r="G886">
        <v>94</v>
      </c>
      <c r="H886">
        <v>0</v>
      </c>
      <c r="I886">
        <v>94</v>
      </c>
      <c r="J886">
        <f t="shared" si="39"/>
        <v>0</v>
      </c>
      <c r="K886" t="s">
        <v>20</v>
      </c>
      <c r="L886">
        <f t="shared" si="40"/>
        <v>1</v>
      </c>
      <c r="M886">
        <v>10</v>
      </c>
      <c r="N886">
        <v>1</v>
      </c>
      <c r="O886">
        <f t="shared" si="41"/>
        <v>0</v>
      </c>
    </row>
    <row r="887" spans="1:15" x14ac:dyDescent="0.3">
      <c r="A887" t="s">
        <v>15</v>
      </c>
      <c r="B887" t="s">
        <v>213</v>
      </c>
      <c r="C887" t="s">
        <v>214</v>
      </c>
      <c r="D887">
        <v>2</v>
      </c>
      <c r="E887" t="s">
        <v>33</v>
      </c>
      <c r="F887" t="s">
        <v>34</v>
      </c>
      <c r="G887">
        <v>38</v>
      </c>
      <c r="H887">
        <v>25</v>
      </c>
      <c r="I887">
        <v>63</v>
      </c>
      <c r="J887">
        <f t="shared" si="39"/>
        <v>13</v>
      </c>
      <c r="K887" t="s">
        <v>20</v>
      </c>
      <c r="L887">
        <f t="shared" si="40"/>
        <v>1</v>
      </c>
      <c r="M887">
        <v>7</v>
      </c>
      <c r="N887">
        <v>4</v>
      </c>
      <c r="O887">
        <f t="shared" si="41"/>
        <v>1</v>
      </c>
    </row>
    <row r="888" spans="1:15" x14ac:dyDescent="0.3">
      <c r="A888" t="s">
        <v>15</v>
      </c>
      <c r="B888" t="s">
        <v>213</v>
      </c>
      <c r="C888" t="s">
        <v>214</v>
      </c>
      <c r="D888">
        <v>2</v>
      </c>
      <c r="E888" t="s">
        <v>35</v>
      </c>
      <c r="F888" t="s">
        <v>36</v>
      </c>
      <c r="G888">
        <v>21</v>
      </c>
      <c r="H888">
        <v>31</v>
      </c>
      <c r="I888">
        <v>52</v>
      </c>
      <c r="J888">
        <f t="shared" si="39"/>
        <v>-10</v>
      </c>
      <c r="K888" t="s">
        <v>20</v>
      </c>
      <c r="L888">
        <f t="shared" si="40"/>
        <v>1</v>
      </c>
      <c r="M888">
        <v>5</v>
      </c>
      <c r="N888">
        <v>3</v>
      </c>
      <c r="O888">
        <f t="shared" si="41"/>
        <v>1</v>
      </c>
    </row>
    <row r="889" spans="1:15" x14ac:dyDescent="0.3">
      <c r="A889" t="s">
        <v>15</v>
      </c>
      <c r="B889" t="s">
        <v>213</v>
      </c>
      <c r="C889" t="s">
        <v>214</v>
      </c>
      <c r="D889">
        <v>2</v>
      </c>
      <c r="E889" t="s">
        <v>37</v>
      </c>
      <c r="F889" t="s">
        <v>38</v>
      </c>
      <c r="G889">
        <v>34</v>
      </c>
      <c r="H889">
        <v>44</v>
      </c>
      <c r="I889">
        <v>78</v>
      </c>
      <c r="J889">
        <f t="shared" si="39"/>
        <v>-10</v>
      </c>
      <c r="K889" t="s">
        <v>20</v>
      </c>
      <c r="L889">
        <f t="shared" si="40"/>
        <v>1</v>
      </c>
      <c r="M889">
        <v>8</v>
      </c>
      <c r="N889">
        <v>3</v>
      </c>
      <c r="O889">
        <f t="shared" si="41"/>
        <v>1</v>
      </c>
    </row>
    <row r="890" spans="1:15" x14ac:dyDescent="0.3">
      <c r="A890" t="s">
        <v>15</v>
      </c>
      <c r="B890" t="s">
        <v>213</v>
      </c>
      <c r="C890" t="s">
        <v>214</v>
      </c>
      <c r="D890">
        <v>1</v>
      </c>
      <c r="E890" t="s">
        <v>39</v>
      </c>
      <c r="F890" t="s">
        <v>40</v>
      </c>
      <c r="G890">
        <v>87</v>
      </c>
      <c r="H890">
        <v>0</v>
      </c>
      <c r="I890">
        <v>87</v>
      </c>
      <c r="J890">
        <f t="shared" si="39"/>
        <v>0</v>
      </c>
      <c r="K890" t="s">
        <v>20</v>
      </c>
      <c r="L890">
        <f t="shared" si="40"/>
        <v>1</v>
      </c>
      <c r="M890">
        <v>9</v>
      </c>
      <c r="N890">
        <v>1</v>
      </c>
      <c r="O890">
        <f t="shared" si="41"/>
        <v>0</v>
      </c>
    </row>
    <row r="891" spans="1:15" x14ac:dyDescent="0.3">
      <c r="A891" t="s">
        <v>15</v>
      </c>
      <c r="B891" t="s">
        <v>213</v>
      </c>
      <c r="C891" t="s">
        <v>214</v>
      </c>
      <c r="D891">
        <v>1</v>
      </c>
      <c r="E891" t="s">
        <v>41</v>
      </c>
      <c r="F891" t="s">
        <v>42</v>
      </c>
      <c r="G891">
        <v>22</v>
      </c>
      <c r="H891">
        <v>30</v>
      </c>
      <c r="I891">
        <v>52</v>
      </c>
      <c r="J891">
        <f t="shared" si="39"/>
        <v>-8</v>
      </c>
      <c r="K891" t="s">
        <v>20</v>
      </c>
      <c r="L891">
        <f t="shared" si="40"/>
        <v>1</v>
      </c>
      <c r="M891">
        <v>6</v>
      </c>
      <c r="N891">
        <v>3</v>
      </c>
      <c r="O891">
        <f t="shared" si="41"/>
        <v>1</v>
      </c>
    </row>
    <row r="892" spans="1:15" x14ac:dyDescent="0.3">
      <c r="A892" t="s">
        <v>15</v>
      </c>
      <c r="B892" t="s">
        <v>213</v>
      </c>
      <c r="C892" t="s">
        <v>214</v>
      </c>
      <c r="D892">
        <v>1</v>
      </c>
      <c r="E892" t="s">
        <v>43</v>
      </c>
      <c r="F892" t="s">
        <v>44</v>
      </c>
      <c r="G892">
        <v>90</v>
      </c>
      <c r="H892">
        <v>0</v>
      </c>
      <c r="I892">
        <v>90</v>
      </c>
      <c r="J892">
        <f t="shared" si="39"/>
        <v>0</v>
      </c>
      <c r="K892" t="s">
        <v>20</v>
      </c>
      <c r="L892">
        <f t="shared" si="40"/>
        <v>1</v>
      </c>
      <c r="M892">
        <v>9</v>
      </c>
      <c r="N892">
        <v>1</v>
      </c>
      <c r="O892">
        <f t="shared" si="41"/>
        <v>0</v>
      </c>
    </row>
    <row r="893" spans="1:15" x14ac:dyDescent="0.3">
      <c r="A893" t="s">
        <v>15</v>
      </c>
      <c r="B893" t="s">
        <v>213</v>
      </c>
      <c r="C893" t="s">
        <v>214</v>
      </c>
      <c r="D893">
        <v>1</v>
      </c>
      <c r="E893" t="s">
        <v>45</v>
      </c>
      <c r="F893" t="s">
        <v>46</v>
      </c>
      <c r="G893">
        <v>34</v>
      </c>
      <c r="H893">
        <v>39</v>
      </c>
      <c r="I893">
        <v>73</v>
      </c>
      <c r="J893">
        <f t="shared" si="39"/>
        <v>-5</v>
      </c>
      <c r="K893" t="s">
        <v>20</v>
      </c>
      <c r="L893">
        <f t="shared" si="40"/>
        <v>1</v>
      </c>
      <c r="M893">
        <v>7</v>
      </c>
      <c r="N893">
        <v>1</v>
      </c>
      <c r="O893">
        <f t="shared" si="41"/>
        <v>1</v>
      </c>
    </row>
    <row r="894" spans="1:15" x14ac:dyDescent="0.3">
      <c r="A894" t="s">
        <v>15</v>
      </c>
      <c r="B894" t="s">
        <v>213</v>
      </c>
      <c r="C894" t="s">
        <v>214</v>
      </c>
      <c r="D894">
        <v>1</v>
      </c>
      <c r="E894" t="s">
        <v>83</v>
      </c>
      <c r="F894" t="s">
        <v>84</v>
      </c>
      <c r="G894">
        <v>58</v>
      </c>
      <c r="H894">
        <v>38</v>
      </c>
      <c r="I894">
        <v>96</v>
      </c>
      <c r="J894">
        <f t="shared" si="39"/>
        <v>20</v>
      </c>
      <c r="K894" t="s">
        <v>20</v>
      </c>
      <c r="L894">
        <f t="shared" si="40"/>
        <v>1</v>
      </c>
      <c r="M894">
        <v>10</v>
      </c>
      <c r="N894">
        <v>3</v>
      </c>
      <c r="O894">
        <f t="shared" si="41"/>
        <v>1</v>
      </c>
    </row>
    <row r="895" spans="1:15" x14ac:dyDescent="0.3">
      <c r="A895" t="s">
        <v>15</v>
      </c>
      <c r="B895" t="s">
        <v>213</v>
      </c>
      <c r="C895" t="s">
        <v>214</v>
      </c>
      <c r="D895">
        <v>1</v>
      </c>
      <c r="E895" t="s">
        <v>53</v>
      </c>
      <c r="F895" t="s">
        <v>54</v>
      </c>
      <c r="G895">
        <v>45</v>
      </c>
      <c r="H895">
        <v>34</v>
      </c>
      <c r="I895">
        <v>79</v>
      </c>
      <c r="J895">
        <f t="shared" si="39"/>
        <v>11</v>
      </c>
      <c r="K895" t="s">
        <v>20</v>
      </c>
      <c r="L895">
        <f t="shared" si="40"/>
        <v>1</v>
      </c>
      <c r="M895">
        <v>8</v>
      </c>
      <c r="N895">
        <v>4</v>
      </c>
      <c r="O895">
        <f t="shared" si="41"/>
        <v>1</v>
      </c>
    </row>
    <row r="896" spans="1:15" x14ac:dyDescent="0.3">
      <c r="A896" t="s">
        <v>15</v>
      </c>
      <c r="B896" t="s">
        <v>213</v>
      </c>
      <c r="C896" t="s">
        <v>214</v>
      </c>
      <c r="D896">
        <v>1</v>
      </c>
      <c r="E896" t="s">
        <v>55</v>
      </c>
      <c r="F896" t="s">
        <v>56</v>
      </c>
      <c r="G896">
        <v>47</v>
      </c>
      <c r="H896">
        <v>36</v>
      </c>
      <c r="I896">
        <v>83</v>
      </c>
      <c r="J896">
        <f t="shared" si="39"/>
        <v>11</v>
      </c>
      <c r="K896" t="s">
        <v>20</v>
      </c>
      <c r="L896">
        <f t="shared" si="40"/>
        <v>1</v>
      </c>
      <c r="M896">
        <v>8</v>
      </c>
      <c r="N896">
        <v>3</v>
      </c>
      <c r="O896">
        <f t="shared" si="41"/>
        <v>1</v>
      </c>
    </row>
    <row r="897" spans="1:15" x14ac:dyDescent="0.3">
      <c r="A897" t="s">
        <v>15</v>
      </c>
      <c r="B897" t="s">
        <v>213</v>
      </c>
      <c r="C897" t="s">
        <v>214</v>
      </c>
      <c r="D897">
        <v>1</v>
      </c>
      <c r="E897" t="s">
        <v>57</v>
      </c>
      <c r="F897" t="s">
        <v>58</v>
      </c>
      <c r="G897">
        <v>43</v>
      </c>
      <c r="H897">
        <v>44</v>
      </c>
      <c r="I897">
        <v>87</v>
      </c>
      <c r="J897">
        <f t="shared" si="39"/>
        <v>-1</v>
      </c>
      <c r="K897" t="s">
        <v>20</v>
      </c>
      <c r="L897">
        <f t="shared" si="40"/>
        <v>1</v>
      </c>
      <c r="M897">
        <v>10</v>
      </c>
      <c r="N897">
        <v>4</v>
      </c>
      <c r="O897">
        <f t="shared" si="41"/>
        <v>1</v>
      </c>
    </row>
    <row r="898" spans="1:15" x14ac:dyDescent="0.3">
      <c r="A898" t="s">
        <v>15</v>
      </c>
      <c r="B898" t="s">
        <v>215</v>
      </c>
      <c r="C898" t="s">
        <v>216</v>
      </c>
      <c r="D898">
        <v>2</v>
      </c>
      <c r="E898" t="s">
        <v>61</v>
      </c>
      <c r="F898" t="s">
        <v>62</v>
      </c>
      <c r="G898">
        <v>28</v>
      </c>
      <c r="H898">
        <v>22</v>
      </c>
      <c r="I898">
        <v>50</v>
      </c>
      <c r="J898">
        <f t="shared" ref="J898:J961" si="42">IF(H898=0,0,G898-H898)</f>
        <v>6</v>
      </c>
      <c r="K898" t="s">
        <v>87</v>
      </c>
      <c r="L898">
        <f t="shared" ref="L898:L961" si="43">IF(K898="Pass",1,0)</f>
        <v>0</v>
      </c>
      <c r="M898">
        <v>0</v>
      </c>
      <c r="N898">
        <v>2</v>
      </c>
      <c r="O898">
        <f t="shared" ref="O898:O961" si="44">IF(H898=0,0,1)</f>
        <v>1</v>
      </c>
    </row>
    <row r="899" spans="1:15" x14ac:dyDescent="0.3">
      <c r="A899" t="s">
        <v>15</v>
      </c>
      <c r="B899" t="s">
        <v>215</v>
      </c>
      <c r="C899" t="s">
        <v>216</v>
      </c>
      <c r="D899">
        <v>2</v>
      </c>
      <c r="E899" t="s">
        <v>33</v>
      </c>
      <c r="F899" t="s">
        <v>34</v>
      </c>
      <c r="G899">
        <v>29</v>
      </c>
      <c r="H899">
        <v>2</v>
      </c>
      <c r="I899">
        <v>31</v>
      </c>
      <c r="J899">
        <f t="shared" si="42"/>
        <v>27</v>
      </c>
      <c r="K899" t="s">
        <v>87</v>
      </c>
      <c r="L899">
        <f t="shared" si="43"/>
        <v>0</v>
      </c>
      <c r="M899">
        <v>0</v>
      </c>
      <c r="N899">
        <v>4</v>
      </c>
      <c r="O899">
        <f t="shared" si="44"/>
        <v>1</v>
      </c>
    </row>
    <row r="900" spans="1:15" x14ac:dyDescent="0.3">
      <c r="A900" t="s">
        <v>15</v>
      </c>
      <c r="B900" t="s">
        <v>215</v>
      </c>
      <c r="C900" t="s">
        <v>216</v>
      </c>
      <c r="D900">
        <v>2</v>
      </c>
      <c r="E900" t="s">
        <v>35</v>
      </c>
      <c r="F900" t="s">
        <v>36</v>
      </c>
      <c r="G900">
        <v>14</v>
      </c>
      <c r="H900">
        <v>16</v>
      </c>
      <c r="I900">
        <v>30</v>
      </c>
      <c r="J900">
        <f t="shared" si="42"/>
        <v>-2</v>
      </c>
      <c r="K900" t="s">
        <v>87</v>
      </c>
      <c r="L900">
        <f t="shared" si="43"/>
        <v>0</v>
      </c>
      <c r="M900">
        <v>0</v>
      </c>
      <c r="N900">
        <v>3</v>
      </c>
      <c r="O900">
        <f t="shared" si="44"/>
        <v>1</v>
      </c>
    </row>
    <row r="901" spans="1:15" x14ac:dyDescent="0.3">
      <c r="A901" t="s">
        <v>15</v>
      </c>
      <c r="B901" t="s">
        <v>215</v>
      </c>
      <c r="C901" t="s">
        <v>216</v>
      </c>
      <c r="D901">
        <v>2</v>
      </c>
      <c r="E901" t="s">
        <v>18</v>
      </c>
      <c r="F901" t="s">
        <v>19</v>
      </c>
      <c r="G901">
        <v>34</v>
      </c>
      <c r="H901">
        <v>29</v>
      </c>
      <c r="I901">
        <v>63</v>
      </c>
      <c r="J901">
        <f t="shared" si="42"/>
        <v>5</v>
      </c>
      <c r="K901" t="s">
        <v>20</v>
      </c>
      <c r="L901">
        <f t="shared" si="43"/>
        <v>1</v>
      </c>
      <c r="M901">
        <v>7</v>
      </c>
      <c r="N901">
        <v>4</v>
      </c>
      <c r="O901">
        <f t="shared" si="44"/>
        <v>1</v>
      </c>
    </row>
    <row r="902" spans="1:15" x14ac:dyDescent="0.3">
      <c r="A902" t="s">
        <v>15</v>
      </c>
      <c r="B902" t="s">
        <v>215</v>
      </c>
      <c r="C902" t="s">
        <v>216</v>
      </c>
      <c r="D902">
        <v>2</v>
      </c>
      <c r="E902" t="s">
        <v>21</v>
      </c>
      <c r="F902" t="s">
        <v>22</v>
      </c>
      <c r="G902">
        <v>38</v>
      </c>
      <c r="H902">
        <v>25</v>
      </c>
      <c r="I902">
        <v>63</v>
      </c>
      <c r="J902">
        <f t="shared" si="42"/>
        <v>13</v>
      </c>
      <c r="K902" t="s">
        <v>20</v>
      </c>
      <c r="L902">
        <f t="shared" si="43"/>
        <v>1</v>
      </c>
      <c r="M902">
        <v>7</v>
      </c>
      <c r="N902">
        <v>4</v>
      </c>
      <c r="O902">
        <f t="shared" si="44"/>
        <v>1</v>
      </c>
    </row>
    <row r="903" spans="1:15" x14ac:dyDescent="0.3">
      <c r="A903" t="s">
        <v>15</v>
      </c>
      <c r="B903" t="s">
        <v>215</v>
      </c>
      <c r="C903" t="s">
        <v>216</v>
      </c>
      <c r="D903">
        <v>2</v>
      </c>
      <c r="E903" t="s">
        <v>41</v>
      </c>
      <c r="F903" t="s">
        <v>42</v>
      </c>
      <c r="G903">
        <v>15</v>
      </c>
      <c r="H903">
        <v>37</v>
      </c>
      <c r="I903">
        <v>52</v>
      </c>
      <c r="J903">
        <f t="shared" si="42"/>
        <v>-22</v>
      </c>
      <c r="K903" t="s">
        <v>20</v>
      </c>
      <c r="L903">
        <f t="shared" si="43"/>
        <v>1</v>
      </c>
      <c r="M903">
        <v>6</v>
      </c>
      <c r="N903">
        <v>3</v>
      </c>
      <c r="O903">
        <f t="shared" si="44"/>
        <v>1</v>
      </c>
    </row>
    <row r="904" spans="1:15" x14ac:dyDescent="0.3">
      <c r="A904" t="s">
        <v>15</v>
      </c>
      <c r="B904" t="s">
        <v>215</v>
      </c>
      <c r="C904" t="s">
        <v>216</v>
      </c>
      <c r="D904">
        <v>2</v>
      </c>
      <c r="E904" t="s">
        <v>23</v>
      </c>
      <c r="F904" t="s">
        <v>24</v>
      </c>
      <c r="G904">
        <v>55</v>
      </c>
      <c r="H904">
        <v>0</v>
      </c>
      <c r="I904">
        <v>55</v>
      </c>
      <c r="J904">
        <f t="shared" si="42"/>
        <v>0</v>
      </c>
      <c r="K904" t="s">
        <v>20</v>
      </c>
      <c r="L904">
        <f t="shared" si="43"/>
        <v>1</v>
      </c>
      <c r="M904">
        <v>5</v>
      </c>
      <c r="N904">
        <v>1</v>
      </c>
      <c r="O904">
        <f t="shared" si="44"/>
        <v>0</v>
      </c>
    </row>
    <row r="905" spans="1:15" x14ac:dyDescent="0.3">
      <c r="A905" t="s">
        <v>15</v>
      </c>
      <c r="B905" t="s">
        <v>215</v>
      </c>
      <c r="C905" t="s">
        <v>216</v>
      </c>
      <c r="D905">
        <v>2</v>
      </c>
      <c r="E905" t="s">
        <v>25</v>
      </c>
      <c r="F905" t="s">
        <v>26</v>
      </c>
      <c r="G905">
        <v>34</v>
      </c>
      <c r="H905">
        <v>30</v>
      </c>
      <c r="I905">
        <v>64</v>
      </c>
      <c r="J905">
        <f t="shared" si="42"/>
        <v>4</v>
      </c>
      <c r="K905" t="s">
        <v>20</v>
      </c>
      <c r="L905">
        <f t="shared" si="43"/>
        <v>1</v>
      </c>
      <c r="M905">
        <v>7</v>
      </c>
      <c r="N905">
        <v>1</v>
      </c>
      <c r="O905">
        <f t="shared" si="44"/>
        <v>1</v>
      </c>
    </row>
    <row r="906" spans="1:15" x14ac:dyDescent="0.3">
      <c r="A906" t="s">
        <v>15</v>
      </c>
      <c r="B906" t="s">
        <v>215</v>
      </c>
      <c r="C906" t="s">
        <v>216</v>
      </c>
      <c r="D906">
        <v>2</v>
      </c>
      <c r="E906" t="s">
        <v>105</v>
      </c>
      <c r="F906" t="s">
        <v>106</v>
      </c>
      <c r="G906">
        <v>74</v>
      </c>
      <c r="H906">
        <v>0</v>
      </c>
      <c r="I906">
        <v>74</v>
      </c>
      <c r="J906">
        <f t="shared" si="42"/>
        <v>0</v>
      </c>
      <c r="K906" t="s">
        <v>20</v>
      </c>
      <c r="L906">
        <f t="shared" si="43"/>
        <v>1</v>
      </c>
      <c r="M906">
        <v>8</v>
      </c>
      <c r="N906">
        <v>1</v>
      </c>
      <c r="O906">
        <f t="shared" si="44"/>
        <v>0</v>
      </c>
    </row>
    <row r="907" spans="1:15" x14ac:dyDescent="0.3">
      <c r="A907" t="s">
        <v>15</v>
      </c>
      <c r="B907" t="s">
        <v>215</v>
      </c>
      <c r="C907" t="s">
        <v>216</v>
      </c>
      <c r="D907">
        <v>2</v>
      </c>
      <c r="E907" t="s">
        <v>31</v>
      </c>
      <c r="F907" t="s">
        <v>32</v>
      </c>
      <c r="G907">
        <v>94</v>
      </c>
      <c r="H907">
        <v>0</v>
      </c>
      <c r="I907">
        <v>94</v>
      </c>
      <c r="J907">
        <f t="shared" si="42"/>
        <v>0</v>
      </c>
      <c r="K907" t="s">
        <v>20</v>
      </c>
      <c r="L907">
        <f t="shared" si="43"/>
        <v>1</v>
      </c>
      <c r="M907">
        <v>10</v>
      </c>
      <c r="N907">
        <v>1</v>
      </c>
      <c r="O907">
        <f t="shared" si="44"/>
        <v>0</v>
      </c>
    </row>
    <row r="908" spans="1:15" x14ac:dyDescent="0.3">
      <c r="A908" t="s">
        <v>15</v>
      </c>
      <c r="B908" t="s">
        <v>215</v>
      </c>
      <c r="C908" t="s">
        <v>216</v>
      </c>
      <c r="D908">
        <v>2</v>
      </c>
      <c r="E908" t="s">
        <v>53</v>
      </c>
      <c r="F908" t="s">
        <v>54</v>
      </c>
      <c r="G908">
        <v>30</v>
      </c>
      <c r="H908">
        <v>5</v>
      </c>
      <c r="I908">
        <v>35</v>
      </c>
      <c r="J908">
        <f t="shared" si="42"/>
        <v>25</v>
      </c>
      <c r="K908" t="s">
        <v>87</v>
      </c>
      <c r="L908">
        <f t="shared" si="43"/>
        <v>0</v>
      </c>
      <c r="M908">
        <v>0</v>
      </c>
      <c r="N908">
        <v>4</v>
      </c>
      <c r="O908">
        <f t="shared" si="44"/>
        <v>1</v>
      </c>
    </row>
    <row r="909" spans="1:15" x14ac:dyDescent="0.3">
      <c r="A909" t="s">
        <v>15</v>
      </c>
      <c r="B909" t="s">
        <v>215</v>
      </c>
      <c r="C909" t="s">
        <v>216</v>
      </c>
      <c r="D909">
        <v>2</v>
      </c>
      <c r="E909" t="s">
        <v>37</v>
      </c>
      <c r="F909" t="s">
        <v>38</v>
      </c>
      <c r="G909">
        <v>23</v>
      </c>
      <c r="H909">
        <v>30</v>
      </c>
      <c r="I909">
        <v>53</v>
      </c>
      <c r="J909">
        <f t="shared" si="42"/>
        <v>-7</v>
      </c>
      <c r="K909" t="s">
        <v>20</v>
      </c>
      <c r="L909">
        <f t="shared" si="43"/>
        <v>1</v>
      </c>
      <c r="M909">
        <v>5</v>
      </c>
      <c r="N909">
        <v>3</v>
      </c>
      <c r="O909">
        <f t="shared" si="44"/>
        <v>1</v>
      </c>
    </row>
    <row r="910" spans="1:15" x14ac:dyDescent="0.3">
      <c r="A910" t="s">
        <v>15</v>
      </c>
      <c r="B910" t="s">
        <v>215</v>
      </c>
      <c r="C910" t="s">
        <v>216</v>
      </c>
      <c r="D910">
        <v>1</v>
      </c>
      <c r="E910" t="s">
        <v>39</v>
      </c>
      <c r="F910" t="s">
        <v>40</v>
      </c>
      <c r="G910">
        <v>87</v>
      </c>
      <c r="H910">
        <v>0</v>
      </c>
      <c r="I910">
        <v>87</v>
      </c>
      <c r="J910">
        <f t="shared" si="42"/>
        <v>0</v>
      </c>
      <c r="K910" t="s">
        <v>20</v>
      </c>
      <c r="L910">
        <f t="shared" si="43"/>
        <v>1</v>
      </c>
      <c r="M910">
        <v>9</v>
      </c>
      <c r="N910">
        <v>1</v>
      </c>
      <c r="O910">
        <f t="shared" si="44"/>
        <v>0</v>
      </c>
    </row>
    <row r="911" spans="1:15" x14ac:dyDescent="0.3">
      <c r="A911" t="s">
        <v>15</v>
      </c>
      <c r="B911" t="s">
        <v>215</v>
      </c>
      <c r="C911" t="s">
        <v>216</v>
      </c>
      <c r="D911">
        <v>1</v>
      </c>
      <c r="E911" t="s">
        <v>41</v>
      </c>
      <c r="F911" t="s">
        <v>42</v>
      </c>
      <c r="G911">
        <v>15</v>
      </c>
      <c r="H911">
        <v>11</v>
      </c>
      <c r="I911">
        <v>26</v>
      </c>
      <c r="J911">
        <f t="shared" si="42"/>
        <v>4</v>
      </c>
      <c r="K911" t="s">
        <v>87</v>
      </c>
      <c r="L911">
        <f t="shared" si="43"/>
        <v>0</v>
      </c>
      <c r="M911">
        <v>0</v>
      </c>
      <c r="N911">
        <v>3</v>
      </c>
      <c r="O911">
        <f t="shared" si="44"/>
        <v>1</v>
      </c>
    </row>
    <row r="912" spans="1:15" x14ac:dyDescent="0.3">
      <c r="A912" t="s">
        <v>15</v>
      </c>
      <c r="B912" t="s">
        <v>215</v>
      </c>
      <c r="C912" t="s">
        <v>216</v>
      </c>
      <c r="D912">
        <v>1</v>
      </c>
      <c r="E912" t="s">
        <v>43</v>
      </c>
      <c r="F912" t="s">
        <v>44</v>
      </c>
      <c r="G912">
        <v>57</v>
      </c>
      <c r="H912">
        <v>0</v>
      </c>
      <c r="I912">
        <v>57</v>
      </c>
      <c r="J912">
        <f t="shared" si="42"/>
        <v>0</v>
      </c>
      <c r="K912" t="s">
        <v>20</v>
      </c>
      <c r="L912">
        <f t="shared" si="43"/>
        <v>1</v>
      </c>
      <c r="M912">
        <v>6</v>
      </c>
      <c r="N912">
        <v>1</v>
      </c>
      <c r="O912">
        <f t="shared" si="44"/>
        <v>0</v>
      </c>
    </row>
    <row r="913" spans="1:15" x14ac:dyDescent="0.3">
      <c r="A913" t="s">
        <v>15</v>
      </c>
      <c r="B913" t="s">
        <v>215</v>
      </c>
      <c r="C913" t="s">
        <v>216</v>
      </c>
      <c r="D913">
        <v>1</v>
      </c>
      <c r="E913" t="s">
        <v>45</v>
      </c>
      <c r="F913" t="s">
        <v>46</v>
      </c>
      <c r="G913">
        <v>27</v>
      </c>
      <c r="H913">
        <v>33</v>
      </c>
      <c r="I913">
        <v>60</v>
      </c>
      <c r="J913">
        <f t="shared" si="42"/>
        <v>-6</v>
      </c>
      <c r="K913" t="s">
        <v>20</v>
      </c>
      <c r="L913">
        <f t="shared" si="43"/>
        <v>1</v>
      </c>
      <c r="M913">
        <v>6</v>
      </c>
      <c r="N913">
        <v>1</v>
      </c>
      <c r="O913">
        <f t="shared" si="44"/>
        <v>1</v>
      </c>
    </row>
    <row r="914" spans="1:15" x14ac:dyDescent="0.3">
      <c r="A914" t="s">
        <v>15</v>
      </c>
      <c r="B914" t="s">
        <v>215</v>
      </c>
      <c r="C914" t="s">
        <v>216</v>
      </c>
      <c r="D914">
        <v>1</v>
      </c>
      <c r="E914" t="s">
        <v>217</v>
      </c>
      <c r="F914" t="s">
        <v>218</v>
      </c>
      <c r="G914">
        <v>87</v>
      </c>
      <c r="H914">
        <v>0</v>
      </c>
      <c r="I914">
        <v>87</v>
      </c>
      <c r="J914">
        <f t="shared" si="42"/>
        <v>0</v>
      </c>
      <c r="K914" t="s">
        <v>20</v>
      </c>
      <c r="L914">
        <f t="shared" si="43"/>
        <v>1</v>
      </c>
      <c r="M914">
        <v>9</v>
      </c>
      <c r="N914">
        <v>1</v>
      </c>
      <c r="O914">
        <f t="shared" si="44"/>
        <v>0</v>
      </c>
    </row>
    <row r="915" spans="1:15" x14ac:dyDescent="0.3">
      <c r="A915" t="s">
        <v>15</v>
      </c>
      <c r="B915" t="s">
        <v>215</v>
      </c>
      <c r="C915" t="s">
        <v>216</v>
      </c>
      <c r="D915">
        <v>1</v>
      </c>
      <c r="E915" t="s">
        <v>49</v>
      </c>
      <c r="F915" t="s">
        <v>50</v>
      </c>
      <c r="G915">
        <v>100</v>
      </c>
      <c r="H915">
        <v>0</v>
      </c>
      <c r="I915">
        <v>100</v>
      </c>
      <c r="J915">
        <f t="shared" si="42"/>
        <v>0</v>
      </c>
      <c r="K915" t="s">
        <v>20</v>
      </c>
      <c r="L915">
        <f t="shared" si="43"/>
        <v>1</v>
      </c>
      <c r="M915">
        <v>10</v>
      </c>
      <c r="N915">
        <v>1</v>
      </c>
      <c r="O915">
        <f t="shared" si="44"/>
        <v>0</v>
      </c>
    </row>
    <row r="916" spans="1:15" x14ac:dyDescent="0.3">
      <c r="A916" t="s">
        <v>15</v>
      </c>
      <c r="B916" t="s">
        <v>215</v>
      </c>
      <c r="C916" t="s">
        <v>216</v>
      </c>
      <c r="D916">
        <v>1</v>
      </c>
      <c r="E916" t="s">
        <v>51</v>
      </c>
      <c r="F916" t="s">
        <v>52</v>
      </c>
      <c r="G916">
        <v>85</v>
      </c>
      <c r="H916">
        <v>0</v>
      </c>
      <c r="I916">
        <v>85</v>
      </c>
      <c r="J916">
        <f t="shared" si="42"/>
        <v>0</v>
      </c>
      <c r="K916" t="s">
        <v>20</v>
      </c>
      <c r="L916">
        <f t="shared" si="43"/>
        <v>1</v>
      </c>
      <c r="M916">
        <v>9</v>
      </c>
      <c r="N916">
        <v>1</v>
      </c>
      <c r="O916">
        <f t="shared" si="44"/>
        <v>0</v>
      </c>
    </row>
    <row r="917" spans="1:15" x14ac:dyDescent="0.3">
      <c r="A917" t="s">
        <v>15</v>
      </c>
      <c r="B917" t="s">
        <v>215</v>
      </c>
      <c r="C917" t="s">
        <v>216</v>
      </c>
      <c r="D917">
        <v>1</v>
      </c>
      <c r="E917" t="s">
        <v>53</v>
      </c>
      <c r="F917" t="s">
        <v>54</v>
      </c>
      <c r="G917">
        <v>30</v>
      </c>
      <c r="H917">
        <v>11</v>
      </c>
      <c r="I917">
        <v>41</v>
      </c>
      <c r="J917">
        <f t="shared" si="42"/>
        <v>19</v>
      </c>
      <c r="K917" t="s">
        <v>87</v>
      </c>
      <c r="L917">
        <f t="shared" si="43"/>
        <v>0</v>
      </c>
      <c r="M917">
        <v>0</v>
      </c>
      <c r="N917">
        <v>4</v>
      </c>
      <c r="O917">
        <f t="shared" si="44"/>
        <v>1</v>
      </c>
    </row>
    <row r="918" spans="1:15" x14ac:dyDescent="0.3">
      <c r="A918" t="s">
        <v>15</v>
      </c>
      <c r="B918" t="s">
        <v>215</v>
      </c>
      <c r="C918" t="s">
        <v>216</v>
      </c>
      <c r="D918">
        <v>1</v>
      </c>
      <c r="E918" t="s">
        <v>55</v>
      </c>
      <c r="F918" t="s">
        <v>56</v>
      </c>
      <c r="G918">
        <v>29</v>
      </c>
      <c r="H918">
        <v>35</v>
      </c>
      <c r="I918">
        <v>64</v>
      </c>
      <c r="J918">
        <f t="shared" si="42"/>
        <v>-6</v>
      </c>
      <c r="K918" t="s">
        <v>20</v>
      </c>
      <c r="L918">
        <f t="shared" si="43"/>
        <v>1</v>
      </c>
      <c r="M918">
        <v>7</v>
      </c>
      <c r="N918">
        <v>3</v>
      </c>
      <c r="O918">
        <f t="shared" si="44"/>
        <v>1</v>
      </c>
    </row>
    <row r="919" spans="1:15" x14ac:dyDescent="0.3">
      <c r="A919" t="s">
        <v>15</v>
      </c>
      <c r="B919" t="s">
        <v>215</v>
      </c>
      <c r="C919" t="s">
        <v>216</v>
      </c>
      <c r="D919">
        <v>1</v>
      </c>
      <c r="E919" t="s">
        <v>57</v>
      </c>
      <c r="F919" t="s">
        <v>58</v>
      </c>
      <c r="G919">
        <v>30</v>
      </c>
      <c r="H919">
        <v>27</v>
      </c>
      <c r="I919">
        <v>57</v>
      </c>
      <c r="J919">
        <f t="shared" si="42"/>
        <v>3</v>
      </c>
      <c r="K919" t="s">
        <v>20</v>
      </c>
      <c r="L919">
        <f t="shared" si="43"/>
        <v>1</v>
      </c>
      <c r="M919">
        <v>6</v>
      </c>
      <c r="N919">
        <v>4</v>
      </c>
      <c r="O919">
        <f t="shared" si="44"/>
        <v>1</v>
      </c>
    </row>
    <row r="920" spans="1:15" x14ac:dyDescent="0.3">
      <c r="A920" t="s">
        <v>15</v>
      </c>
      <c r="B920" t="s">
        <v>219</v>
      </c>
      <c r="C920" t="s">
        <v>220</v>
      </c>
      <c r="D920">
        <v>2</v>
      </c>
      <c r="E920" t="s">
        <v>33</v>
      </c>
      <c r="F920" t="s">
        <v>34</v>
      </c>
      <c r="G920">
        <v>27</v>
      </c>
      <c r="H920">
        <v>1</v>
      </c>
      <c r="I920">
        <v>28</v>
      </c>
      <c r="J920">
        <f t="shared" si="42"/>
        <v>26</v>
      </c>
      <c r="K920" t="s">
        <v>87</v>
      </c>
      <c r="L920">
        <f t="shared" si="43"/>
        <v>0</v>
      </c>
      <c r="M920">
        <v>0</v>
      </c>
      <c r="N920">
        <v>4</v>
      </c>
      <c r="O920">
        <f t="shared" si="44"/>
        <v>1</v>
      </c>
    </row>
    <row r="921" spans="1:15" x14ac:dyDescent="0.3">
      <c r="A921" t="s">
        <v>15</v>
      </c>
      <c r="B921" t="s">
        <v>219</v>
      </c>
      <c r="C921" t="s">
        <v>220</v>
      </c>
      <c r="D921">
        <v>2</v>
      </c>
      <c r="E921" t="s">
        <v>37</v>
      </c>
      <c r="F921" t="s">
        <v>38</v>
      </c>
      <c r="G921">
        <v>20</v>
      </c>
      <c r="H921">
        <v>10</v>
      </c>
      <c r="I921">
        <v>30</v>
      </c>
      <c r="J921">
        <f t="shared" si="42"/>
        <v>10</v>
      </c>
      <c r="K921" t="s">
        <v>87</v>
      </c>
      <c r="L921">
        <f t="shared" si="43"/>
        <v>0</v>
      </c>
      <c r="M921">
        <v>0</v>
      </c>
      <c r="N921">
        <v>3</v>
      </c>
      <c r="O921">
        <f t="shared" si="44"/>
        <v>1</v>
      </c>
    </row>
    <row r="922" spans="1:15" x14ac:dyDescent="0.3">
      <c r="A922" t="s">
        <v>15</v>
      </c>
      <c r="B922" t="s">
        <v>219</v>
      </c>
      <c r="C922" t="s">
        <v>220</v>
      </c>
      <c r="D922">
        <v>2</v>
      </c>
      <c r="E922" t="s">
        <v>18</v>
      </c>
      <c r="F922" t="s">
        <v>19</v>
      </c>
      <c r="G922">
        <v>37</v>
      </c>
      <c r="H922">
        <v>26</v>
      </c>
      <c r="I922">
        <v>63</v>
      </c>
      <c r="J922">
        <f t="shared" si="42"/>
        <v>11</v>
      </c>
      <c r="K922" t="s">
        <v>20</v>
      </c>
      <c r="L922">
        <f t="shared" si="43"/>
        <v>1</v>
      </c>
      <c r="M922">
        <v>7</v>
      </c>
      <c r="N922">
        <v>4</v>
      </c>
      <c r="O922">
        <f t="shared" si="44"/>
        <v>1</v>
      </c>
    </row>
    <row r="923" spans="1:15" x14ac:dyDescent="0.3">
      <c r="A923" t="s">
        <v>15</v>
      </c>
      <c r="B923" t="s">
        <v>219</v>
      </c>
      <c r="C923" t="s">
        <v>220</v>
      </c>
      <c r="D923">
        <v>2</v>
      </c>
      <c r="E923" t="s">
        <v>21</v>
      </c>
      <c r="F923" t="s">
        <v>22</v>
      </c>
      <c r="G923">
        <v>35</v>
      </c>
      <c r="H923">
        <v>24</v>
      </c>
      <c r="I923">
        <v>59</v>
      </c>
      <c r="J923">
        <f t="shared" si="42"/>
        <v>11</v>
      </c>
      <c r="K923" t="s">
        <v>20</v>
      </c>
      <c r="L923">
        <f t="shared" si="43"/>
        <v>1</v>
      </c>
      <c r="M923">
        <v>6</v>
      </c>
      <c r="N923">
        <v>4</v>
      </c>
      <c r="O923">
        <f t="shared" si="44"/>
        <v>1</v>
      </c>
    </row>
    <row r="924" spans="1:15" x14ac:dyDescent="0.3">
      <c r="A924" t="s">
        <v>15</v>
      </c>
      <c r="B924" t="s">
        <v>219</v>
      </c>
      <c r="C924" t="s">
        <v>220</v>
      </c>
      <c r="D924">
        <v>2</v>
      </c>
      <c r="E924" t="s">
        <v>41</v>
      </c>
      <c r="F924" t="s">
        <v>42</v>
      </c>
      <c r="G924">
        <v>8</v>
      </c>
      <c r="H924">
        <v>2</v>
      </c>
      <c r="I924">
        <v>10</v>
      </c>
      <c r="J924">
        <f t="shared" si="42"/>
        <v>6</v>
      </c>
      <c r="K924" t="s">
        <v>87</v>
      </c>
      <c r="L924">
        <f t="shared" si="43"/>
        <v>0</v>
      </c>
      <c r="M924">
        <v>0</v>
      </c>
      <c r="N924">
        <v>3</v>
      </c>
      <c r="O924">
        <f t="shared" si="44"/>
        <v>1</v>
      </c>
    </row>
    <row r="925" spans="1:15" x14ac:dyDescent="0.3">
      <c r="A925" t="s">
        <v>15</v>
      </c>
      <c r="B925" t="s">
        <v>219</v>
      </c>
      <c r="C925" t="s">
        <v>220</v>
      </c>
      <c r="D925">
        <v>2</v>
      </c>
      <c r="E925" t="s">
        <v>23</v>
      </c>
      <c r="F925" t="s">
        <v>24</v>
      </c>
      <c r="G925">
        <v>60</v>
      </c>
      <c r="H925">
        <v>0</v>
      </c>
      <c r="I925">
        <v>60</v>
      </c>
      <c r="J925">
        <f t="shared" si="42"/>
        <v>0</v>
      </c>
      <c r="K925" t="s">
        <v>20</v>
      </c>
      <c r="L925">
        <f t="shared" si="43"/>
        <v>1</v>
      </c>
      <c r="M925">
        <v>6</v>
      </c>
      <c r="N925">
        <v>1</v>
      </c>
      <c r="O925">
        <f t="shared" si="44"/>
        <v>0</v>
      </c>
    </row>
    <row r="926" spans="1:15" x14ac:dyDescent="0.3">
      <c r="A926" t="s">
        <v>15</v>
      </c>
      <c r="B926" t="s">
        <v>219</v>
      </c>
      <c r="C926" t="s">
        <v>220</v>
      </c>
      <c r="D926">
        <v>2</v>
      </c>
      <c r="E926" t="s">
        <v>25</v>
      </c>
      <c r="F926" t="s">
        <v>26</v>
      </c>
      <c r="G926">
        <v>33</v>
      </c>
      <c r="H926">
        <v>29</v>
      </c>
      <c r="I926">
        <v>62</v>
      </c>
      <c r="J926">
        <f t="shared" si="42"/>
        <v>4</v>
      </c>
      <c r="K926" t="s">
        <v>20</v>
      </c>
      <c r="L926">
        <f t="shared" si="43"/>
        <v>1</v>
      </c>
      <c r="M926">
        <v>7</v>
      </c>
      <c r="N926">
        <v>1</v>
      </c>
      <c r="O926">
        <f t="shared" si="44"/>
        <v>1</v>
      </c>
    </row>
    <row r="927" spans="1:15" x14ac:dyDescent="0.3">
      <c r="A927" t="s">
        <v>15</v>
      </c>
      <c r="B927" t="s">
        <v>219</v>
      </c>
      <c r="C927" t="s">
        <v>220</v>
      </c>
      <c r="D927">
        <v>2</v>
      </c>
      <c r="E927" t="s">
        <v>27</v>
      </c>
      <c r="F927" t="s">
        <v>28</v>
      </c>
      <c r="G927">
        <v>26</v>
      </c>
      <c r="H927">
        <v>30</v>
      </c>
      <c r="I927">
        <v>56</v>
      </c>
      <c r="J927">
        <f t="shared" si="42"/>
        <v>-4</v>
      </c>
      <c r="K927" t="s">
        <v>20</v>
      </c>
      <c r="L927">
        <f t="shared" si="43"/>
        <v>1</v>
      </c>
      <c r="M927">
        <v>6</v>
      </c>
      <c r="N927">
        <v>2</v>
      </c>
      <c r="O927">
        <f t="shared" si="44"/>
        <v>1</v>
      </c>
    </row>
    <row r="928" spans="1:15" x14ac:dyDescent="0.3">
      <c r="A928" t="s">
        <v>15</v>
      </c>
      <c r="B928" t="s">
        <v>219</v>
      </c>
      <c r="C928" t="s">
        <v>220</v>
      </c>
      <c r="D928">
        <v>2</v>
      </c>
      <c r="E928" t="s">
        <v>149</v>
      </c>
      <c r="F928" t="s">
        <v>150</v>
      </c>
      <c r="G928">
        <v>80</v>
      </c>
      <c r="H928">
        <v>0</v>
      </c>
      <c r="I928">
        <v>80</v>
      </c>
      <c r="J928">
        <f t="shared" si="42"/>
        <v>0</v>
      </c>
      <c r="K928" t="s">
        <v>20</v>
      </c>
      <c r="L928">
        <f t="shared" si="43"/>
        <v>1</v>
      </c>
      <c r="M928">
        <v>8</v>
      </c>
      <c r="N928">
        <v>1</v>
      </c>
      <c r="O928">
        <f t="shared" si="44"/>
        <v>0</v>
      </c>
    </row>
    <row r="929" spans="1:15" x14ac:dyDescent="0.3">
      <c r="A929" t="s">
        <v>15</v>
      </c>
      <c r="B929" t="s">
        <v>219</v>
      </c>
      <c r="C929" t="s">
        <v>220</v>
      </c>
      <c r="D929">
        <v>2</v>
      </c>
      <c r="E929" t="s">
        <v>51</v>
      </c>
      <c r="F929" t="s">
        <v>52</v>
      </c>
      <c r="G929">
        <v>0</v>
      </c>
      <c r="H929">
        <v>0</v>
      </c>
      <c r="I929">
        <v>0</v>
      </c>
      <c r="J929">
        <f t="shared" si="42"/>
        <v>0</v>
      </c>
      <c r="K929" t="s">
        <v>221</v>
      </c>
      <c r="L929">
        <f t="shared" si="43"/>
        <v>0</v>
      </c>
      <c r="M929">
        <v>0</v>
      </c>
      <c r="N929">
        <v>1</v>
      </c>
      <c r="O929">
        <f t="shared" si="44"/>
        <v>0</v>
      </c>
    </row>
    <row r="930" spans="1:15" x14ac:dyDescent="0.3">
      <c r="A930" t="s">
        <v>15</v>
      </c>
      <c r="B930" t="s">
        <v>219</v>
      </c>
      <c r="C930" t="s">
        <v>220</v>
      </c>
      <c r="D930">
        <v>2</v>
      </c>
      <c r="E930" t="s">
        <v>31</v>
      </c>
      <c r="F930" t="s">
        <v>32</v>
      </c>
      <c r="G930">
        <v>94</v>
      </c>
      <c r="H930">
        <v>0</v>
      </c>
      <c r="I930">
        <v>94</v>
      </c>
      <c r="J930">
        <f t="shared" si="42"/>
        <v>0</v>
      </c>
      <c r="K930" t="s">
        <v>20</v>
      </c>
      <c r="L930">
        <f t="shared" si="43"/>
        <v>1</v>
      </c>
      <c r="M930">
        <v>10</v>
      </c>
      <c r="N930">
        <v>1</v>
      </c>
      <c r="O930">
        <f t="shared" si="44"/>
        <v>0</v>
      </c>
    </row>
    <row r="931" spans="1:15" x14ac:dyDescent="0.3">
      <c r="A931" t="s">
        <v>15</v>
      </c>
      <c r="B931" t="s">
        <v>219</v>
      </c>
      <c r="C931" t="s">
        <v>220</v>
      </c>
      <c r="D931">
        <v>2</v>
      </c>
      <c r="E931" t="s">
        <v>53</v>
      </c>
      <c r="F931" t="s">
        <v>54</v>
      </c>
      <c r="G931">
        <v>34</v>
      </c>
      <c r="H931">
        <v>12</v>
      </c>
      <c r="I931">
        <v>46</v>
      </c>
      <c r="J931">
        <f t="shared" si="42"/>
        <v>22</v>
      </c>
      <c r="K931" t="s">
        <v>87</v>
      </c>
      <c r="L931">
        <f t="shared" si="43"/>
        <v>0</v>
      </c>
      <c r="M931">
        <v>0</v>
      </c>
      <c r="N931">
        <v>4</v>
      </c>
      <c r="O931">
        <f t="shared" si="44"/>
        <v>1</v>
      </c>
    </row>
    <row r="932" spans="1:15" x14ac:dyDescent="0.3">
      <c r="A932" t="s">
        <v>15</v>
      </c>
      <c r="B932" t="s">
        <v>219</v>
      </c>
      <c r="C932" t="s">
        <v>220</v>
      </c>
      <c r="D932">
        <v>2</v>
      </c>
      <c r="E932" t="s">
        <v>35</v>
      </c>
      <c r="F932" t="s">
        <v>36</v>
      </c>
      <c r="G932">
        <v>22</v>
      </c>
      <c r="H932">
        <v>30</v>
      </c>
      <c r="I932">
        <v>52</v>
      </c>
      <c r="J932">
        <f t="shared" si="42"/>
        <v>-8</v>
      </c>
      <c r="K932" t="s">
        <v>20</v>
      </c>
      <c r="L932">
        <f t="shared" si="43"/>
        <v>1</v>
      </c>
      <c r="M932">
        <v>5</v>
      </c>
      <c r="N932">
        <v>3</v>
      </c>
      <c r="O932">
        <f t="shared" si="44"/>
        <v>1</v>
      </c>
    </row>
    <row r="933" spans="1:15" x14ac:dyDescent="0.3">
      <c r="A933" t="s">
        <v>15</v>
      </c>
      <c r="B933" t="s">
        <v>219</v>
      </c>
      <c r="C933" t="s">
        <v>220</v>
      </c>
      <c r="D933">
        <v>2</v>
      </c>
      <c r="E933" t="s">
        <v>57</v>
      </c>
      <c r="F933" t="s">
        <v>58</v>
      </c>
      <c r="G933">
        <v>30</v>
      </c>
      <c r="H933">
        <v>5</v>
      </c>
      <c r="I933">
        <v>35</v>
      </c>
      <c r="J933">
        <f t="shared" si="42"/>
        <v>25</v>
      </c>
      <c r="K933" t="s">
        <v>87</v>
      </c>
      <c r="L933">
        <f t="shared" si="43"/>
        <v>0</v>
      </c>
      <c r="M933">
        <v>0</v>
      </c>
      <c r="N933">
        <v>4</v>
      </c>
      <c r="O933">
        <f t="shared" si="44"/>
        <v>1</v>
      </c>
    </row>
    <row r="934" spans="1:15" x14ac:dyDescent="0.3">
      <c r="A934" t="s">
        <v>15</v>
      </c>
      <c r="B934" t="s">
        <v>219</v>
      </c>
      <c r="C934" t="s">
        <v>220</v>
      </c>
      <c r="D934">
        <v>1</v>
      </c>
      <c r="E934" t="s">
        <v>39</v>
      </c>
      <c r="F934" t="s">
        <v>40</v>
      </c>
      <c r="G934">
        <v>89</v>
      </c>
      <c r="H934">
        <v>0</v>
      </c>
      <c r="I934">
        <v>89</v>
      </c>
      <c r="J934">
        <f t="shared" si="42"/>
        <v>0</v>
      </c>
      <c r="K934" t="s">
        <v>20</v>
      </c>
      <c r="L934">
        <f t="shared" si="43"/>
        <v>1</v>
      </c>
      <c r="M934">
        <v>9</v>
      </c>
      <c r="N934">
        <v>1</v>
      </c>
      <c r="O934">
        <f t="shared" si="44"/>
        <v>0</v>
      </c>
    </row>
    <row r="935" spans="1:15" x14ac:dyDescent="0.3">
      <c r="A935" t="s">
        <v>15</v>
      </c>
      <c r="B935" t="s">
        <v>219</v>
      </c>
      <c r="C935" t="s">
        <v>220</v>
      </c>
      <c r="D935">
        <v>1</v>
      </c>
      <c r="E935" t="s">
        <v>41</v>
      </c>
      <c r="F935" t="s">
        <v>42</v>
      </c>
      <c r="G935">
        <v>8</v>
      </c>
      <c r="H935">
        <v>4</v>
      </c>
      <c r="I935">
        <v>12</v>
      </c>
      <c r="J935">
        <f t="shared" si="42"/>
        <v>4</v>
      </c>
      <c r="K935" t="s">
        <v>87</v>
      </c>
      <c r="L935">
        <f t="shared" si="43"/>
        <v>0</v>
      </c>
      <c r="M935">
        <v>0</v>
      </c>
      <c r="N935">
        <v>3</v>
      </c>
      <c r="O935">
        <f t="shared" si="44"/>
        <v>1</v>
      </c>
    </row>
    <row r="936" spans="1:15" x14ac:dyDescent="0.3">
      <c r="A936" t="s">
        <v>15</v>
      </c>
      <c r="B936" t="s">
        <v>219</v>
      </c>
      <c r="C936" t="s">
        <v>220</v>
      </c>
      <c r="D936">
        <v>1</v>
      </c>
      <c r="E936" t="s">
        <v>43</v>
      </c>
      <c r="F936" t="s">
        <v>44</v>
      </c>
      <c r="G936">
        <v>90</v>
      </c>
      <c r="H936">
        <v>0</v>
      </c>
      <c r="I936">
        <v>90</v>
      </c>
      <c r="J936">
        <f t="shared" si="42"/>
        <v>0</v>
      </c>
      <c r="K936" t="s">
        <v>20</v>
      </c>
      <c r="L936">
        <f t="shared" si="43"/>
        <v>1</v>
      </c>
      <c r="M936">
        <v>9</v>
      </c>
      <c r="N936">
        <v>1</v>
      </c>
      <c r="O936">
        <f t="shared" si="44"/>
        <v>0</v>
      </c>
    </row>
    <row r="937" spans="1:15" x14ac:dyDescent="0.3">
      <c r="A937" t="s">
        <v>15</v>
      </c>
      <c r="B937" t="s">
        <v>219</v>
      </c>
      <c r="C937" t="s">
        <v>220</v>
      </c>
      <c r="D937">
        <v>1</v>
      </c>
      <c r="E937" t="s">
        <v>45</v>
      </c>
      <c r="F937" t="s">
        <v>46</v>
      </c>
      <c r="G937">
        <v>31</v>
      </c>
      <c r="H937">
        <v>34</v>
      </c>
      <c r="I937">
        <v>65</v>
      </c>
      <c r="J937">
        <f t="shared" si="42"/>
        <v>-3</v>
      </c>
      <c r="K937" t="s">
        <v>20</v>
      </c>
      <c r="L937">
        <f t="shared" si="43"/>
        <v>1</v>
      </c>
      <c r="M937">
        <v>7</v>
      </c>
      <c r="N937">
        <v>1</v>
      </c>
      <c r="O937">
        <f t="shared" si="44"/>
        <v>1</v>
      </c>
    </row>
    <row r="938" spans="1:15" x14ac:dyDescent="0.3">
      <c r="A938" t="s">
        <v>15</v>
      </c>
      <c r="B938" t="s">
        <v>219</v>
      </c>
      <c r="C938" t="s">
        <v>220</v>
      </c>
      <c r="D938">
        <v>1</v>
      </c>
      <c r="E938" t="s">
        <v>203</v>
      </c>
      <c r="F938" t="s">
        <v>204</v>
      </c>
      <c r="G938">
        <v>59</v>
      </c>
      <c r="H938">
        <v>0</v>
      </c>
      <c r="I938">
        <v>59</v>
      </c>
      <c r="J938">
        <f t="shared" si="42"/>
        <v>0</v>
      </c>
      <c r="K938" t="s">
        <v>20</v>
      </c>
      <c r="L938">
        <f t="shared" si="43"/>
        <v>1</v>
      </c>
      <c r="M938">
        <v>6</v>
      </c>
      <c r="N938">
        <v>1</v>
      </c>
      <c r="O938">
        <f t="shared" si="44"/>
        <v>0</v>
      </c>
    </row>
    <row r="939" spans="1:15" x14ac:dyDescent="0.3">
      <c r="A939" t="s">
        <v>15</v>
      </c>
      <c r="B939" t="s">
        <v>219</v>
      </c>
      <c r="C939" t="s">
        <v>220</v>
      </c>
      <c r="D939">
        <v>1</v>
      </c>
      <c r="E939" t="s">
        <v>49</v>
      </c>
      <c r="F939" t="s">
        <v>50</v>
      </c>
      <c r="G939">
        <v>100</v>
      </c>
      <c r="H939">
        <v>0</v>
      </c>
      <c r="I939">
        <v>100</v>
      </c>
      <c r="J939">
        <f t="shared" si="42"/>
        <v>0</v>
      </c>
      <c r="K939" t="s">
        <v>20</v>
      </c>
      <c r="L939">
        <f t="shared" si="43"/>
        <v>1</v>
      </c>
      <c r="M939">
        <v>10</v>
      </c>
      <c r="N939">
        <v>1</v>
      </c>
      <c r="O939">
        <f t="shared" si="44"/>
        <v>0</v>
      </c>
    </row>
    <row r="940" spans="1:15" x14ac:dyDescent="0.3">
      <c r="A940" t="s">
        <v>15</v>
      </c>
      <c r="B940" t="s">
        <v>219</v>
      </c>
      <c r="C940" t="s">
        <v>220</v>
      </c>
      <c r="D940">
        <v>1</v>
      </c>
      <c r="E940" t="s">
        <v>51</v>
      </c>
      <c r="F940" t="s">
        <v>52</v>
      </c>
      <c r="G940">
        <v>0</v>
      </c>
      <c r="H940">
        <v>0</v>
      </c>
      <c r="I940">
        <v>0</v>
      </c>
      <c r="J940">
        <f t="shared" si="42"/>
        <v>0</v>
      </c>
      <c r="K940" t="s">
        <v>87</v>
      </c>
      <c r="L940">
        <f t="shared" si="43"/>
        <v>0</v>
      </c>
      <c r="M940">
        <v>0</v>
      </c>
      <c r="N940">
        <v>1</v>
      </c>
      <c r="O940">
        <f t="shared" si="44"/>
        <v>0</v>
      </c>
    </row>
    <row r="941" spans="1:15" x14ac:dyDescent="0.3">
      <c r="A941" t="s">
        <v>15</v>
      </c>
      <c r="B941" t="s">
        <v>219</v>
      </c>
      <c r="C941" t="s">
        <v>220</v>
      </c>
      <c r="D941">
        <v>1</v>
      </c>
      <c r="E941" t="s">
        <v>53</v>
      </c>
      <c r="F941" t="s">
        <v>54</v>
      </c>
      <c r="G941">
        <v>34</v>
      </c>
      <c r="H941">
        <v>13</v>
      </c>
      <c r="I941">
        <v>47</v>
      </c>
      <c r="J941">
        <f t="shared" si="42"/>
        <v>21</v>
      </c>
      <c r="K941" t="s">
        <v>87</v>
      </c>
      <c r="L941">
        <f t="shared" si="43"/>
        <v>0</v>
      </c>
      <c r="M941">
        <v>0</v>
      </c>
      <c r="N941">
        <v>4</v>
      </c>
      <c r="O941">
        <f t="shared" si="44"/>
        <v>1</v>
      </c>
    </row>
    <row r="942" spans="1:15" x14ac:dyDescent="0.3">
      <c r="A942" t="s">
        <v>15</v>
      </c>
      <c r="B942" t="s">
        <v>219</v>
      </c>
      <c r="C942" t="s">
        <v>220</v>
      </c>
      <c r="D942">
        <v>1</v>
      </c>
      <c r="E942" t="s">
        <v>55</v>
      </c>
      <c r="F942" t="s">
        <v>56</v>
      </c>
      <c r="G942">
        <v>38</v>
      </c>
      <c r="H942">
        <v>27</v>
      </c>
      <c r="I942">
        <v>65</v>
      </c>
      <c r="J942">
        <f t="shared" si="42"/>
        <v>11</v>
      </c>
      <c r="K942" t="s">
        <v>20</v>
      </c>
      <c r="L942">
        <f t="shared" si="43"/>
        <v>1</v>
      </c>
      <c r="M942">
        <v>7</v>
      </c>
      <c r="N942">
        <v>3</v>
      </c>
      <c r="O942">
        <f t="shared" si="44"/>
        <v>1</v>
      </c>
    </row>
    <row r="943" spans="1:15" x14ac:dyDescent="0.3">
      <c r="A943" t="s">
        <v>15</v>
      </c>
      <c r="B943" t="s">
        <v>219</v>
      </c>
      <c r="C943" t="s">
        <v>220</v>
      </c>
      <c r="D943">
        <v>1</v>
      </c>
      <c r="E943" t="s">
        <v>57</v>
      </c>
      <c r="F943" t="s">
        <v>58</v>
      </c>
      <c r="G943">
        <v>30</v>
      </c>
      <c r="H943">
        <v>7</v>
      </c>
      <c r="I943">
        <v>37</v>
      </c>
      <c r="J943">
        <f t="shared" si="42"/>
        <v>23</v>
      </c>
      <c r="K943" t="s">
        <v>87</v>
      </c>
      <c r="L943">
        <f t="shared" si="43"/>
        <v>0</v>
      </c>
      <c r="M943">
        <v>0</v>
      </c>
      <c r="N943">
        <v>4</v>
      </c>
      <c r="O943">
        <f t="shared" si="44"/>
        <v>1</v>
      </c>
    </row>
    <row r="944" spans="1:15" x14ac:dyDescent="0.3">
      <c r="A944" t="s">
        <v>15</v>
      </c>
      <c r="B944" t="s">
        <v>222</v>
      </c>
      <c r="C944" t="s">
        <v>223</v>
      </c>
      <c r="D944">
        <v>2</v>
      </c>
      <c r="E944" t="s">
        <v>18</v>
      </c>
      <c r="F944" t="s">
        <v>19</v>
      </c>
      <c r="G944">
        <v>42</v>
      </c>
      <c r="H944">
        <v>30</v>
      </c>
      <c r="I944">
        <v>72</v>
      </c>
      <c r="J944">
        <f t="shared" si="42"/>
        <v>12</v>
      </c>
      <c r="K944" t="s">
        <v>20</v>
      </c>
      <c r="L944">
        <f t="shared" si="43"/>
        <v>1</v>
      </c>
      <c r="M944">
        <v>7</v>
      </c>
      <c r="N944">
        <v>4</v>
      </c>
      <c r="O944">
        <f t="shared" si="44"/>
        <v>1</v>
      </c>
    </row>
    <row r="945" spans="1:15" x14ac:dyDescent="0.3">
      <c r="A945" t="s">
        <v>15</v>
      </c>
      <c r="B945" t="s">
        <v>222</v>
      </c>
      <c r="C945" t="s">
        <v>223</v>
      </c>
      <c r="D945">
        <v>2</v>
      </c>
      <c r="E945" t="s">
        <v>21</v>
      </c>
      <c r="F945" t="s">
        <v>22</v>
      </c>
      <c r="G945">
        <v>41</v>
      </c>
      <c r="H945">
        <v>27</v>
      </c>
      <c r="I945">
        <v>68</v>
      </c>
      <c r="J945">
        <f t="shared" si="42"/>
        <v>14</v>
      </c>
      <c r="K945" t="s">
        <v>20</v>
      </c>
      <c r="L945">
        <f t="shared" si="43"/>
        <v>1</v>
      </c>
      <c r="M945">
        <v>7</v>
      </c>
      <c r="N945">
        <v>4</v>
      </c>
      <c r="O945">
        <f t="shared" si="44"/>
        <v>1</v>
      </c>
    </row>
    <row r="946" spans="1:15" x14ac:dyDescent="0.3">
      <c r="A946" t="s">
        <v>15</v>
      </c>
      <c r="B946" t="s">
        <v>222</v>
      </c>
      <c r="C946" t="s">
        <v>223</v>
      </c>
      <c r="D946">
        <v>2</v>
      </c>
      <c r="E946" t="s">
        <v>23</v>
      </c>
      <c r="F946" t="s">
        <v>24</v>
      </c>
      <c r="G946">
        <v>78</v>
      </c>
      <c r="H946">
        <v>0</v>
      </c>
      <c r="I946">
        <v>78</v>
      </c>
      <c r="J946">
        <f t="shared" si="42"/>
        <v>0</v>
      </c>
      <c r="K946" t="s">
        <v>20</v>
      </c>
      <c r="L946">
        <f t="shared" si="43"/>
        <v>1</v>
      </c>
      <c r="M946">
        <v>8</v>
      </c>
      <c r="N946">
        <v>1</v>
      </c>
      <c r="O946">
        <f t="shared" si="44"/>
        <v>0</v>
      </c>
    </row>
    <row r="947" spans="1:15" x14ac:dyDescent="0.3">
      <c r="A947" t="s">
        <v>15</v>
      </c>
      <c r="B947" t="s">
        <v>222</v>
      </c>
      <c r="C947" t="s">
        <v>223</v>
      </c>
      <c r="D947">
        <v>2</v>
      </c>
      <c r="E947" t="s">
        <v>25</v>
      </c>
      <c r="F947" t="s">
        <v>26</v>
      </c>
      <c r="G947">
        <v>36</v>
      </c>
      <c r="H947">
        <v>29</v>
      </c>
      <c r="I947">
        <v>65</v>
      </c>
      <c r="J947">
        <f t="shared" si="42"/>
        <v>7</v>
      </c>
      <c r="K947" t="s">
        <v>20</v>
      </c>
      <c r="L947">
        <f t="shared" si="43"/>
        <v>1</v>
      </c>
      <c r="M947">
        <v>7</v>
      </c>
      <c r="N947">
        <v>1</v>
      </c>
      <c r="O947">
        <f t="shared" si="44"/>
        <v>1</v>
      </c>
    </row>
    <row r="948" spans="1:15" x14ac:dyDescent="0.3">
      <c r="A948" t="s">
        <v>15</v>
      </c>
      <c r="B948" t="s">
        <v>222</v>
      </c>
      <c r="C948" t="s">
        <v>223</v>
      </c>
      <c r="D948">
        <v>2</v>
      </c>
      <c r="E948" t="s">
        <v>27</v>
      </c>
      <c r="F948" t="s">
        <v>28</v>
      </c>
      <c r="G948">
        <v>32</v>
      </c>
      <c r="H948">
        <v>35</v>
      </c>
      <c r="I948">
        <v>67</v>
      </c>
      <c r="J948">
        <f t="shared" si="42"/>
        <v>-3</v>
      </c>
      <c r="K948" t="s">
        <v>20</v>
      </c>
      <c r="L948">
        <f t="shared" si="43"/>
        <v>1</v>
      </c>
      <c r="M948">
        <v>7</v>
      </c>
      <c r="N948">
        <v>2</v>
      </c>
      <c r="O948">
        <f t="shared" si="44"/>
        <v>1</v>
      </c>
    </row>
    <row r="949" spans="1:15" x14ac:dyDescent="0.3">
      <c r="A949" t="s">
        <v>15</v>
      </c>
      <c r="B949" t="s">
        <v>222</v>
      </c>
      <c r="C949" t="s">
        <v>223</v>
      </c>
      <c r="D949">
        <v>2</v>
      </c>
      <c r="E949" t="s">
        <v>65</v>
      </c>
      <c r="F949" t="s">
        <v>66</v>
      </c>
      <c r="G949">
        <v>81</v>
      </c>
      <c r="H949">
        <v>0</v>
      </c>
      <c r="I949">
        <v>81</v>
      </c>
      <c r="J949">
        <f t="shared" si="42"/>
        <v>0</v>
      </c>
      <c r="K949" t="s">
        <v>20</v>
      </c>
      <c r="L949">
        <f t="shared" si="43"/>
        <v>1</v>
      </c>
      <c r="M949">
        <v>9</v>
      </c>
      <c r="N949">
        <v>1</v>
      </c>
      <c r="O949">
        <f t="shared" si="44"/>
        <v>0</v>
      </c>
    </row>
    <row r="950" spans="1:15" x14ac:dyDescent="0.3">
      <c r="A950" t="s">
        <v>15</v>
      </c>
      <c r="B950" t="s">
        <v>222</v>
      </c>
      <c r="C950" t="s">
        <v>223</v>
      </c>
      <c r="D950">
        <v>2</v>
      </c>
      <c r="E950" t="s">
        <v>31</v>
      </c>
      <c r="F950" t="s">
        <v>32</v>
      </c>
      <c r="G950">
        <v>94</v>
      </c>
      <c r="H950">
        <v>0</v>
      </c>
      <c r="I950">
        <v>94</v>
      </c>
      <c r="J950">
        <f t="shared" si="42"/>
        <v>0</v>
      </c>
      <c r="K950" t="s">
        <v>20</v>
      </c>
      <c r="L950">
        <f t="shared" si="43"/>
        <v>1</v>
      </c>
      <c r="M950">
        <v>10</v>
      </c>
      <c r="N950">
        <v>1</v>
      </c>
      <c r="O950">
        <f t="shared" si="44"/>
        <v>0</v>
      </c>
    </row>
    <row r="951" spans="1:15" x14ac:dyDescent="0.3">
      <c r="A951" t="s">
        <v>15</v>
      </c>
      <c r="B951" t="s">
        <v>222</v>
      </c>
      <c r="C951" t="s">
        <v>223</v>
      </c>
      <c r="D951">
        <v>2</v>
      </c>
      <c r="E951" t="s">
        <v>33</v>
      </c>
      <c r="F951" t="s">
        <v>34</v>
      </c>
      <c r="G951">
        <v>40</v>
      </c>
      <c r="H951">
        <v>34</v>
      </c>
      <c r="I951">
        <v>74</v>
      </c>
      <c r="J951">
        <f t="shared" si="42"/>
        <v>6</v>
      </c>
      <c r="K951" t="s">
        <v>20</v>
      </c>
      <c r="L951">
        <f t="shared" si="43"/>
        <v>1</v>
      </c>
      <c r="M951">
        <v>8</v>
      </c>
      <c r="N951">
        <v>4</v>
      </c>
      <c r="O951">
        <f t="shared" si="44"/>
        <v>1</v>
      </c>
    </row>
    <row r="952" spans="1:15" x14ac:dyDescent="0.3">
      <c r="A952" t="s">
        <v>15</v>
      </c>
      <c r="B952" t="s">
        <v>222</v>
      </c>
      <c r="C952" t="s">
        <v>223</v>
      </c>
      <c r="D952">
        <v>2</v>
      </c>
      <c r="E952" t="s">
        <v>35</v>
      </c>
      <c r="F952" t="s">
        <v>36</v>
      </c>
      <c r="G952">
        <v>26</v>
      </c>
      <c r="H952">
        <v>47</v>
      </c>
      <c r="I952">
        <v>73</v>
      </c>
      <c r="J952">
        <f t="shared" si="42"/>
        <v>-21</v>
      </c>
      <c r="K952" t="s">
        <v>20</v>
      </c>
      <c r="L952">
        <f t="shared" si="43"/>
        <v>1</v>
      </c>
      <c r="M952">
        <v>8</v>
      </c>
      <c r="N952">
        <v>3</v>
      </c>
      <c r="O952">
        <f t="shared" si="44"/>
        <v>1</v>
      </c>
    </row>
    <row r="953" spans="1:15" x14ac:dyDescent="0.3">
      <c r="A953" t="s">
        <v>15</v>
      </c>
      <c r="B953" t="s">
        <v>222</v>
      </c>
      <c r="C953" t="s">
        <v>223</v>
      </c>
      <c r="D953">
        <v>2</v>
      </c>
      <c r="E953" t="s">
        <v>37</v>
      </c>
      <c r="F953" t="s">
        <v>38</v>
      </c>
      <c r="G953">
        <v>29</v>
      </c>
      <c r="H953">
        <v>44</v>
      </c>
      <c r="I953">
        <v>73</v>
      </c>
      <c r="J953">
        <f t="shared" si="42"/>
        <v>-15</v>
      </c>
      <c r="K953" t="s">
        <v>20</v>
      </c>
      <c r="L953">
        <f t="shared" si="43"/>
        <v>1</v>
      </c>
      <c r="M953">
        <v>8</v>
      </c>
      <c r="N953">
        <v>3</v>
      </c>
      <c r="O953">
        <f t="shared" si="44"/>
        <v>1</v>
      </c>
    </row>
    <row r="954" spans="1:15" x14ac:dyDescent="0.3">
      <c r="A954" t="s">
        <v>15</v>
      </c>
      <c r="B954" t="s">
        <v>222</v>
      </c>
      <c r="C954" t="s">
        <v>223</v>
      </c>
      <c r="D954">
        <v>1</v>
      </c>
      <c r="E954" t="s">
        <v>39</v>
      </c>
      <c r="F954" t="s">
        <v>40</v>
      </c>
      <c r="G954">
        <v>92</v>
      </c>
      <c r="H954">
        <v>0</v>
      </c>
      <c r="I954">
        <v>92</v>
      </c>
      <c r="J954">
        <f t="shared" si="42"/>
        <v>0</v>
      </c>
      <c r="K954" t="s">
        <v>20</v>
      </c>
      <c r="L954">
        <f t="shared" si="43"/>
        <v>1</v>
      </c>
      <c r="M954">
        <v>10</v>
      </c>
      <c r="N954">
        <v>1</v>
      </c>
      <c r="O954">
        <f t="shared" si="44"/>
        <v>0</v>
      </c>
    </row>
    <row r="955" spans="1:15" x14ac:dyDescent="0.3">
      <c r="A955" t="s">
        <v>15</v>
      </c>
      <c r="B955" t="s">
        <v>222</v>
      </c>
      <c r="C955" t="s">
        <v>223</v>
      </c>
      <c r="D955">
        <v>1</v>
      </c>
      <c r="E955" t="s">
        <v>41</v>
      </c>
      <c r="F955" t="s">
        <v>42</v>
      </c>
      <c r="G955">
        <v>23</v>
      </c>
      <c r="H955">
        <v>30</v>
      </c>
      <c r="I955">
        <v>53</v>
      </c>
      <c r="J955">
        <f t="shared" si="42"/>
        <v>-7</v>
      </c>
      <c r="K955" t="s">
        <v>20</v>
      </c>
      <c r="L955">
        <f t="shared" si="43"/>
        <v>1</v>
      </c>
      <c r="M955">
        <v>6</v>
      </c>
      <c r="N955">
        <v>3</v>
      </c>
      <c r="O955">
        <f t="shared" si="44"/>
        <v>1</v>
      </c>
    </row>
    <row r="956" spans="1:15" x14ac:dyDescent="0.3">
      <c r="A956" t="s">
        <v>15</v>
      </c>
      <c r="B956" t="s">
        <v>222</v>
      </c>
      <c r="C956" t="s">
        <v>223</v>
      </c>
      <c r="D956">
        <v>1</v>
      </c>
      <c r="E956" t="s">
        <v>43</v>
      </c>
      <c r="F956" t="s">
        <v>44</v>
      </c>
      <c r="G956">
        <v>62</v>
      </c>
      <c r="H956">
        <v>0</v>
      </c>
      <c r="I956">
        <v>62</v>
      </c>
      <c r="J956">
        <f t="shared" si="42"/>
        <v>0</v>
      </c>
      <c r="K956" t="s">
        <v>20</v>
      </c>
      <c r="L956">
        <f t="shared" si="43"/>
        <v>1</v>
      </c>
      <c r="M956">
        <v>7</v>
      </c>
      <c r="N956">
        <v>1</v>
      </c>
      <c r="O956">
        <f t="shared" si="44"/>
        <v>0</v>
      </c>
    </row>
    <row r="957" spans="1:15" x14ac:dyDescent="0.3">
      <c r="A957" t="s">
        <v>15</v>
      </c>
      <c r="B957" t="s">
        <v>222</v>
      </c>
      <c r="C957" t="s">
        <v>223</v>
      </c>
      <c r="D957">
        <v>1</v>
      </c>
      <c r="E957" t="s">
        <v>45</v>
      </c>
      <c r="F957" t="s">
        <v>46</v>
      </c>
      <c r="G957">
        <v>27</v>
      </c>
      <c r="H957">
        <v>42</v>
      </c>
      <c r="I957">
        <v>69</v>
      </c>
      <c r="J957">
        <f t="shared" si="42"/>
        <v>-15</v>
      </c>
      <c r="K957" t="s">
        <v>20</v>
      </c>
      <c r="L957">
        <f t="shared" si="43"/>
        <v>1</v>
      </c>
      <c r="M957">
        <v>7</v>
      </c>
      <c r="N957">
        <v>1</v>
      </c>
      <c r="O957">
        <f t="shared" si="44"/>
        <v>1</v>
      </c>
    </row>
    <row r="958" spans="1:15" x14ac:dyDescent="0.3">
      <c r="A958" t="s">
        <v>15</v>
      </c>
      <c r="B958" t="s">
        <v>222</v>
      </c>
      <c r="C958" t="s">
        <v>223</v>
      </c>
      <c r="D958">
        <v>1</v>
      </c>
      <c r="E958" t="s">
        <v>161</v>
      </c>
      <c r="F958" t="s">
        <v>162</v>
      </c>
      <c r="G958">
        <v>86</v>
      </c>
      <c r="H958">
        <v>0</v>
      </c>
      <c r="I958">
        <v>86</v>
      </c>
      <c r="J958">
        <f t="shared" si="42"/>
        <v>0</v>
      </c>
      <c r="K958" t="s">
        <v>20</v>
      </c>
      <c r="L958">
        <f t="shared" si="43"/>
        <v>1</v>
      </c>
      <c r="M958">
        <v>9</v>
      </c>
      <c r="N958">
        <v>1</v>
      </c>
      <c r="O958">
        <f t="shared" si="44"/>
        <v>0</v>
      </c>
    </row>
    <row r="959" spans="1:15" x14ac:dyDescent="0.3">
      <c r="A959" t="s">
        <v>15</v>
      </c>
      <c r="B959" t="s">
        <v>222</v>
      </c>
      <c r="C959" t="s">
        <v>223</v>
      </c>
      <c r="D959">
        <v>1</v>
      </c>
      <c r="E959" t="s">
        <v>49</v>
      </c>
      <c r="F959" t="s">
        <v>50</v>
      </c>
      <c r="G959">
        <v>95</v>
      </c>
      <c r="H959">
        <v>0</v>
      </c>
      <c r="I959">
        <v>95</v>
      </c>
      <c r="J959">
        <f t="shared" si="42"/>
        <v>0</v>
      </c>
      <c r="K959" t="s">
        <v>20</v>
      </c>
      <c r="L959">
        <f t="shared" si="43"/>
        <v>1</v>
      </c>
      <c r="M959">
        <v>10</v>
      </c>
      <c r="N959">
        <v>1</v>
      </c>
      <c r="O959">
        <f t="shared" si="44"/>
        <v>0</v>
      </c>
    </row>
    <row r="960" spans="1:15" x14ac:dyDescent="0.3">
      <c r="A960" t="s">
        <v>15</v>
      </c>
      <c r="B960" t="s">
        <v>222</v>
      </c>
      <c r="C960" t="s">
        <v>223</v>
      </c>
      <c r="D960">
        <v>1</v>
      </c>
      <c r="E960" t="s">
        <v>51</v>
      </c>
      <c r="F960" t="s">
        <v>52</v>
      </c>
      <c r="G960">
        <v>88</v>
      </c>
      <c r="H960">
        <v>0</v>
      </c>
      <c r="I960">
        <v>88</v>
      </c>
      <c r="J960">
        <f t="shared" si="42"/>
        <v>0</v>
      </c>
      <c r="K960" t="s">
        <v>20</v>
      </c>
      <c r="L960">
        <f t="shared" si="43"/>
        <v>1</v>
      </c>
      <c r="M960">
        <v>9</v>
      </c>
      <c r="N960">
        <v>1</v>
      </c>
      <c r="O960">
        <f t="shared" si="44"/>
        <v>0</v>
      </c>
    </row>
    <row r="961" spans="1:15" x14ac:dyDescent="0.3">
      <c r="A961" t="s">
        <v>15</v>
      </c>
      <c r="B961" t="s">
        <v>222</v>
      </c>
      <c r="C961" t="s">
        <v>223</v>
      </c>
      <c r="D961">
        <v>1</v>
      </c>
      <c r="E961" t="s">
        <v>53</v>
      </c>
      <c r="F961" t="s">
        <v>54</v>
      </c>
      <c r="G961">
        <v>43</v>
      </c>
      <c r="H961">
        <v>40</v>
      </c>
      <c r="I961">
        <v>83</v>
      </c>
      <c r="J961">
        <f t="shared" si="42"/>
        <v>3</v>
      </c>
      <c r="K961" t="s">
        <v>20</v>
      </c>
      <c r="L961">
        <f t="shared" si="43"/>
        <v>1</v>
      </c>
      <c r="M961">
        <v>8</v>
      </c>
      <c r="N961">
        <v>4</v>
      </c>
      <c r="O961">
        <f t="shared" si="44"/>
        <v>1</v>
      </c>
    </row>
    <row r="962" spans="1:15" x14ac:dyDescent="0.3">
      <c r="A962" t="s">
        <v>15</v>
      </c>
      <c r="B962" t="s">
        <v>222</v>
      </c>
      <c r="C962" t="s">
        <v>223</v>
      </c>
      <c r="D962">
        <v>1</v>
      </c>
      <c r="E962" t="s">
        <v>55</v>
      </c>
      <c r="F962" t="s">
        <v>56</v>
      </c>
      <c r="G962">
        <v>40</v>
      </c>
      <c r="H962">
        <v>35</v>
      </c>
      <c r="I962">
        <v>75</v>
      </c>
      <c r="J962">
        <f t="shared" ref="J962:J1025" si="45">IF(H962=0,0,G962-H962)</f>
        <v>5</v>
      </c>
      <c r="K962" t="s">
        <v>20</v>
      </c>
      <c r="L962">
        <f t="shared" ref="L962:L1025" si="46">IF(K962="Pass",1,0)</f>
        <v>1</v>
      </c>
      <c r="M962">
        <v>8</v>
      </c>
      <c r="N962">
        <v>3</v>
      </c>
      <c r="O962">
        <f t="shared" ref="O962:O1025" si="47">IF(H962=0,0,1)</f>
        <v>1</v>
      </c>
    </row>
    <row r="963" spans="1:15" x14ac:dyDescent="0.3">
      <c r="A963" t="s">
        <v>15</v>
      </c>
      <c r="B963" t="s">
        <v>222</v>
      </c>
      <c r="C963" t="s">
        <v>223</v>
      </c>
      <c r="D963">
        <v>1</v>
      </c>
      <c r="E963" t="s">
        <v>57</v>
      </c>
      <c r="F963" t="s">
        <v>58</v>
      </c>
      <c r="G963">
        <v>38</v>
      </c>
      <c r="H963">
        <v>31</v>
      </c>
      <c r="I963">
        <v>69</v>
      </c>
      <c r="J963">
        <f t="shared" si="45"/>
        <v>7</v>
      </c>
      <c r="K963" t="s">
        <v>20</v>
      </c>
      <c r="L963">
        <f t="shared" si="46"/>
        <v>1</v>
      </c>
      <c r="M963">
        <v>8</v>
      </c>
      <c r="N963">
        <v>4</v>
      </c>
      <c r="O963">
        <f t="shared" si="47"/>
        <v>1</v>
      </c>
    </row>
    <row r="964" spans="1:15" x14ac:dyDescent="0.3">
      <c r="A964" t="s">
        <v>15</v>
      </c>
      <c r="B964" t="s">
        <v>224</v>
      </c>
      <c r="C964" t="s">
        <v>225</v>
      </c>
      <c r="D964">
        <v>2</v>
      </c>
      <c r="E964" t="s">
        <v>18</v>
      </c>
      <c r="F964" t="s">
        <v>19</v>
      </c>
      <c r="G964">
        <v>43</v>
      </c>
      <c r="H964">
        <v>42</v>
      </c>
      <c r="I964">
        <v>85</v>
      </c>
      <c r="J964">
        <f t="shared" si="45"/>
        <v>1</v>
      </c>
      <c r="K964" t="s">
        <v>20</v>
      </c>
      <c r="L964">
        <f t="shared" si="46"/>
        <v>1</v>
      </c>
      <c r="M964">
        <v>8</v>
      </c>
      <c r="N964">
        <v>4</v>
      </c>
      <c r="O964">
        <f t="shared" si="47"/>
        <v>1</v>
      </c>
    </row>
    <row r="965" spans="1:15" x14ac:dyDescent="0.3">
      <c r="A965" t="s">
        <v>15</v>
      </c>
      <c r="B965" t="s">
        <v>224</v>
      </c>
      <c r="C965" t="s">
        <v>225</v>
      </c>
      <c r="D965">
        <v>2</v>
      </c>
      <c r="E965" t="s">
        <v>21</v>
      </c>
      <c r="F965" t="s">
        <v>22</v>
      </c>
      <c r="G965">
        <v>41</v>
      </c>
      <c r="H965">
        <v>42</v>
      </c>
      <c r="I965">
        <v>83</v>
      </c>
      <c r="J965">
        <f t="shared" si="45"/>
        <v>-1</v>
      </c>
      <c r="K965" t="s">
        <v>20</v>
      </c>
      <c r="L965">
        <f t="shared" si="46"/>
        <v>1</v>
      </c>
      <c r="M965">
        <v>9</v>
      </c>
      <c r="N965">
        <v>4</v>
      </c>
      <c r="O965">
        <f t="shared" si="47"/>
        <v>1</v>
      </c>
    </row>
    <row r="966" spans="1:15" x14ac:dyDescent="0.3">
      <c r="A966" t="s">
        <v>15</v>
      </c>
      <c r="B966" t="s">
        <v>224</v>
      </c>
      <c r="C966" t="s">
        <v>225</v>
      </c>
      <c r="D966">
        <v>2</v>
      </c>
      <c r="E966" t="s">
        <v>23</v>
      </c>
      <c r="F966" t="s">
        <v>24</v>
      </c>
      <c r="G966">
        <v>70</v>
      </c>
      <c r="H966">
        <v>0</v>
      </c>
      <c r="I966">
        <v>70</v>
      </c>
      <c r="J966">
        <f t="shared" si="45"/>
        <v>0</v>
      </c>
      <c r="K966" t="s">
        <v>20</v>
      </c>
      <c r="L966">
        <f t="shared" si="46"/>
        <v>1</v>
      </c>
      <c r="M966">
        <v>7</v>
      </c>
      <c r="N966">
        <v>1</v>
      </c>
      <c r="O966">
        <f t="shared" si="47"/>
        <v>0</v>
      </c>
    </row>
    <row r="967" spans="1:15" x14ac:dyDescent="0.3">
      <c r="A967" t="s">
        <v>15</v>
      </c>
      <c r="B967" t="s">
        <v>224</v>
      </c>
      <c r="C967" t="s">
        <v>225</v>
      </c>
      <c r="D967">
        <v>2</v>
      </c>
      <c r="E967" t="s">
        <v>25</v>
      </c>
      <c r="F967" t="s">
        <v>26</v>
      </c>
      <c r="G967">
        <v>43</v>
      </c>
      <c r="H967">
        <v>32</v>
      </c>
      <c r="I967">
        <v>75</v>
      </c>
      <c r="J967">
        <f t="shared" si="45"/>
        <v>11</v>
      </c>
      <c r="K967" t="s">
        <v>20</v>
      </c>
      <c r="L967">
        <f t="shared" si="46"/>
        <v>1</v>
      </c>
      <c r="M967">
        <v>8</v>
      </c>
      <c r="N967">
        <v>1</v>
      </c>
      <c r="O967">
        <f t="shared" si="47"/>
        <v>1</v>
      </c>
    </row>
    <row r="968" spans="1:15" x14ac:dyDescent="0.3">
      <c r="A968" t="s">
        <v>15</v>
      </c>
      <c r="B968" t="s">
        <v>224</v>
      </c>
      <c r="C968" t="s">
        <v>225</v>
      </c>
      <c r="D968">
        <v>2</v>
      </c>
      <c r="E968" t="s">
        <v>61</v>
      </c>
      <c r="F968" t="s">
        <v>62</v>
      </c>
      <c r="G968">
        <v>26</v>
      </c>
      <c r="H968">
        <v>47</v>
      </c>
      <c r="I968">
        <v>73</v>
      </c>
      <c r="J968">
        <f t="shared" si="45"/>
        <v>-21</v>
      </c>
      <c r="K968" t="s">
        <v>20</v>
      </c>
      <c r="L968">
        <f t="shared" si="46"/>
        <v>1</v>
      </c>
      <c r="M968">
        <v>8</v>
      </c>
      <c r="N968">
        <v>2</v>
      </c>
      <c r="O968">
        <f t="shared" si="47"/>
        <v>1</v>
      </c>
    </row>
    <row r="969" spans="1:15" x14ac:dyDescent="0.3">
      <c r="A969" t="s">
        <v>15</v>
      </c>
      <c r="B969" t="s">
        <v>224</v>
      </c>
      <c r="C969" t="s">
        <v>225</v>
      </c>
      <c r="D969">
        <v>2</v>
      </c>
      <c r="E969" t="s">
        <v>105</v>
      </c>
      <c r="F969" t="s">
        <v>106</v>
      </c>
      <c r="G969">
        <v>85</v>
      </c>
      <c r="H969">
        <v>0</v>
      </c>
      <c r="I969">
        <v>85</v>
      </c>
      <c r="J969">
        <f t="shared" si="45"/>
        <v>0</v>
      </c>
      <c r="K969" t="s">
        <v>20</v>
      </c>
      <c r="L969">
        <f t="shared" si="46"/>
        <v>1</v>
      </c>
      <c r="M969">
        <v>9</v>
      </c>
      <c r="N969">
        <v>1</v>
      </c>
      <c r="O969">
        <f t="shared" si="47"/>
        <v>0</v>
      </c>
    </row>
    <row r="970" spans="1:15" x14ac:dyDescent="0.3">
      <c r="A970" t="s">
        <v>15</v>
      </c>
      <c r="B970" t="s">
        <v>224</v>
      </c>
      <c r="C970" t="s">
        <v>225</v>
      </c>
      <c r="D970">
        <v>2</v>
      </c>
      <c r="E970" t="s">
        <v>31</v>
      </c>
      <c r="F970" t="s">
        <v>32</v>
      </c>
      <c r="G970">
        <v>92</v>
      </c>
      <c r="H970">
        <v>0</v>
      </c>
      <c r="I970">
        <v>92</v>
      </c>
      <c r="J970">
        <f t="shared" si="45"/>
        <v>0</v>
      </c>
      <c r="K970" t="s">
        <v>20</v>
      </c>
      <c r="L970">
        <f t="shared" si="46"/>
        <v>1</v>
      </c>
      <c r="M970">
        <v>10</v>
      </c>
      <c r="N970">
        <v>1</v>
      </c>
      <c r="O970">
        <f t="shared" si="47"/>
        <v>0</v>
      </c>
    </row>
    <row r="971" spans="1:15" x14ac:dyDescent="0.3">
      <c r="A971" t="s">
        <v>15</v>
      </c>
      <c r="B971" t="s">
        <v>224</v>
      </c>
      <c r="C971" t="s">
        <v>225</v>
      </c>
      <c r="D971">
        <v>2</v>
      </c>
      <c r="E971" t="s">
        <v>33</v>
      </c>
      <c r="F971" t="s">
        <v>34</v>
      </c>
      <c r="G971">
        <v>37</v>
      </c>
      <c r="H971">
        <v>32</v>
      </c>
      <c r="I971">
        <v>69</v>
      </c>
      <c r="J971">
        <f t="shared" si="45"/>
        <v>5</v>
      </c>
      <c r="K971" t="s">
        <v>20</v>
      </c>
      <c r="L971">
        <f t="shared" si="46"/>
        <v>1</v>
      </c>
      <c r="M971">
        <v>8</v>
      </c>
      <c r="N971">
        <v>4</v>
      </c>
      <c r="O971">
        <f t="shared" si="47"/>
        <v>1</v>
      </c>
    </row>
    <row r="972" spans="1:15" x14ac:dyDescent="0.3">
      <c r="A972" t="s">
        <v>15</v>
      </c>
      <c r="B972" t="s">
        <v>224</v>
      </c>
      <c r="C972" t="s">
        <v>225</v>
      </c>
      <c r="D972">
        <v>2</v>
      </c>
      <c r="E972" t="s">
        <v>35</v>
      </c>
      <c r="F972" t="s">
        <v>36</v>
      </c>
      <c r="G972">
        <v>32</v>
      </c>
      <c r="H972">
        <v>44</v>
      </c>
      <c r="I972">
        <v>76</v>
      </c>
      <c r="J972">
        <f t="shared" si="45"/>
        <v>-12</v>
      </c>
      <c r="K972" t="s">
        <v>20</v>
      </c>
      <c r="L972">
        <f t="shared" si="46"/>
        <v>1</v>
      </c>
      <c r="M972">
        <v>8</v>
      </c>
      <c r="N972">
        <v>3</v>
      </c>
      <c r="O972">
        <f t="shared" si="47"/>
        <v>1</v>
      </c>
    </row>
    <row r="973" spans="1:15" x14ac:dyDescent="0.3">
      <c r="A973" t="s">
        <v>15</v>
      </c>
      <c r="B973" t="s">
        <v>224</v>
      </c>
      <c r="C973" t="s">
        <v>225</v>
      </c>
      <c r="D973">
        <v>2</v>
      </c>
      <c r="E973" t="s">
        <v>37</v>
      </c>
      <c r="F973" t="s">
        <v>38</v>
      </c>
      <c r="G973">
        <v>33</v>
      </c>
      <c r="H973">
        <v>50</v>
      </c>
      <c r="I973">
        <v>83</v>
      </c>
      <c r="J973">
        <f t="shared" si="45"/>
        <v>-17</v>
      </c>
      <c r="K973" t="s">
        <v>20</v>
      </c>
      <c r="L973">
        <f t="shared" si="46"/>
        <v>1</v>
      </c>
      <c r="M973">
        <v>8</v>
      </c>
      <c r="N973">
        <v>3</v>
      </c>
      <c r="O973">
        <f t="shared" si="47"/>
        <v>1</v>
      </c>
    </row>
    <row r="974" spans="1:15" x14ac:dyDescent="0.3">
      <c r="A974" t="s">
        <v>15</v>
      </c>
      <c r="B974" t="s">
        <v>224</v>
      </c>
      <c r="C974" t="s">
        <v>225</v>
      </c>
      <c r="D974">
        <v>1</v>
      </c>
      <c r="E974" t="s">
        <v>39</v>
      </c>
      <c r="F974" t="s">
        <v>40</v>
      </c>
      <c r="G974">
        <v>83</v>
      </c>
      <c r="H974">
        <v>0</v>
      </c>
      <c r="I974">
        <v>83</v>
      </c>
      <c r="J974">
        <f t="shared" si="45"/>
        <v>0</v>
      </c>
      <c r="K974" t="s">
        <v>20</v>
      </c>
      <c r="L974">
        <f t="shared" si="46"/>
        <v>1</v>
      </c>
      <c r="M974">
        <v>9</v>
      </c>
      <c r="N974">
        <v>1</v>
      </c>
      <c r="O974">
        <f t="shared" si="47"/>
        <v>0</v>
      </c>
    </row>
    <row r="975" spans="1:15" x14ac:dyDescent="0.3">
      <c r="A975" t="s">
        <v>15</v>
      </c>
      <c r="B975" t="s">
        <v>224</v>
      </c>
      <c r="C975" t="s">
        <v>225</v>
      </c>
      <c r="D975">
        <v>1</v>
      </c>
      <c r="E975" t="s">
        <v>41</v>
      </c>
      <c r="F975" t="s">
        <v>42</v>
      </c>
      <c r="G975">
        <v>27</v>
      </c>
      <c r="H975">
        <v>32</v>
      </c>
      <c r="I975">
        <v>59</v>
      </c>
      <c r="J975">
        <f t="shared" si="45"/>
        <v>-5</v>
      </c>
      <c r="K975" t="s">
        <v>20</v>
      </c>
      <c r="L975">
        <f t="shared" si="46"/>
        <v>1</v>
      </c>
      <c r="M975">
        <v>8</v>
      </c>
      <c r="N975">
        <v>3</v>
      </c>
      <c r="O975">
        <f t="shared" si="47"/>
        <v>1</v>
      </c>
    </row>
    <row r="976" spans="1:15" x14ac:dyDescent="0.3">
      <c r="A976" t="s">
        <v>15</v>
      </c>
      <c r="B976" t="s">
        <v>224</v>
      </c>
      <c r="C976" t="s">
        <v>225</v>
      </c>
      <c r="D976">
        <v>1</v>
      </c>
      <c r="E976" t="s">
        <v>43</v>
      </c>
      <c r="F976" t="s">
        <v>44</v>
      </c>
      <c r="G976">
        <v>92</v>
      </c>
      <c r="H976">
        <v>0</v>
      </c>
      <c r="I976">
        <v>92</v>
      </c>
      <c r="J976">
        <f t="shared" si="45"/>
        <v>0</v>
      </c>
      <c r="K976" t="s">
        <v>20</v>
      </c>
      <c r="L976">
        <f t="shared" si="46"/>
        <v>1</v>
      </c>
      <c r="M976">
        <v>10</v>
      </c>
      <c r="N976">
        <v>1</v>
      </c>
      <c r="O976">
        <f t="shared" si="47"/>
        <v>0</v>
      </c>
    </row>
    <row r="977" spans="1:15" x14ac:dyDescent="0.3">
      <c r="A977" t="s">
        <v>15</v>
      </c>
      <c r="B977" t="s">
        <v>224</v>
      </c>
      <c r="C977" t="s">
        <v>225</v>
      </c>
      <c r="D977">
        <v>1</v>
      </c>
      <c r="E977" t="s">
        <v>45</v>
      </c>
      <c r="F977" t="s">
        <v>46</v>
      </c>
      <c r="G977">
        <v>29</v>
      </c>
      <c r="H977">
        <v>48</v>
      </c>
      <c r="I977">
        <v>77</v>
      </c>
      <c r="J977">
        <f t="shared" si="45"/>
        <v>-19</v>
      </c>
      <c r="K977" t="s">
        <v>20</v>
      </c>
      <c r="L977">
        <f t="shared" si="46"/>
        <v>1</v>
      </c>
      <c r="M977">
        <v>8</v>
      </c>
      <c r="N977">
        <v>1</v>
      </c>
      <c r="O977">
        <f t="shared" si="47"/>
        <v>1</v>
      </c>
    </row>
    <row r="978" spans="1:15" x14ac:dyDescent="0.3">
      <c r="A978" t="s">
        <v>15</v>
      </c>
      <c r="B978" t="s">
        <v>224</v>
      </c>
      <c r="C978" t="s">
        <v>225</v>
      </c>
      <c r="D978">
        <v>1</v>
      </c>
      <c r="E978" t="s">
        <v>83</v>
      </c>
      <c r="F978" t="s">
        <v>84</v>
      </c>
      <c r="G978">
        <v>57</v>
      </c>
      <c r="H978">
        <v>37</v>
      </c>
      <c r="I978">
        <v>94</v>
      </c>
      <c r="J978">
        <f t="shared" si="45"/>
        <v>20</v>
      </c>
      <c r="K978" t="s">
        <v>20</v>
      </c>
      <c r="L978">
        <f t="shared" si="46"/>
        <v>1</v>
      </c>
      <c r="M978">
        <v>10</v>
      </c>
      <c r="N978">
        <v>3</v>
      </c>
      <c r="O978">
        <f t="shared" si="47"/>
        <v>1</v>
      </c>
    </row>
    <row r="979" spans="1:15" x14ac:dyDescent="0.3">
      <c r="A979" t="s">
        <v>15</v>
      </c>
      <c r="B979" t="s">
        <v>224</v>
      </c>
      <c r="C979" t="s">
        <v>225</v>
      </c>
      <c r="D979">
        <v>1</v>
      </c>
      <c r="E979" t="s">
        <v>53</v>
      </c>
      <c r="F979" t="s">
        <v>54</v>
      </c>
      <c r="G979">
        <v>45</v>
      </c>
      <c r="H979">
        <v>46</v>
      </c>
      <c r="I979">
        <v>91</v>
      </c>
      <c r="J979">
        <f t="shared" si="45"/>
        <v>-1</v>
      </c>
      <c r="K979" t="s">
        <v>20</v>
      </c>
      <c r="L979">
        <f t="shared" si="46"/>
        <v>1</v>
      </c>
      <c r="M979">
        <v>9</v>
      </c>
      <c r="N979">
        <v>4</v>
      </c>
      <c r="O979">
        <f t="shared" si="47"/>
        <v>1</v>
      </c>
    </row>
    <row r="980" spans="1:15" x14ac:dyDescent="0.3">
      <c r="A980" t="s">
        <v>15</v>
      </c>
      <c r="B980" t="s">
        <v>224</v>
      </c>
      <c r="C980" t="s">
        <v>225</v>
      </c>
      <c r="D980">
        <v>1</v>
      </c>
      <c r="E980" t="s">
        <v>55</v>
      </c>
      <c r="F980" t="s">
        <v>56</v>
      </c>
      <c r="G980">
        <v>46</v>
      </c>
      <c r="H980">
        <v>50</v>
      </c>
      <c r="I980">
        <v>96</v>
      </c>
      <c r="J980">
        <f t="shared" si="45"/>
        <v>-4</v>
      </c>
      <c r="K980" t="s">
        <v>20</v>
      </c>
      <c r="L980">
        <f t="shared" si="46"/>
        <v>1</v>
      </c>
      <c r="M980">
        <v>10</v>
      </c>
      <c r="N980">
        <v>3</v>
      </c>
      <c r="O980">
        <f t="shared" si="47"/>
        <v>1</v>
      </c>
    </row>
    <row r="981" spans="1:15" x14ac:dyDescent="0.3">
      <c r="A981" t="s">
        <v>15</v>
      </c>
      <c r="B981" t="s">
        <v>224</v>
      </c>
      <c r="C981" t="s">
        <v>225</v>
      </c>
      <c r="D981">
        <v>1</v>
      </c>
      <c r="E981" t="s">
        <v>57</v>
      </c>
      <c r="F981" t="s">
        <v>58</v>
      </c>
      <c r="G981">
        <v>43</v>
      </c>
      <c r="H981">
        <v>44</v>
      </c>
      <c r="I981">
        <v>87</v>
      </c>
      <c r="J981">
        <f t="shared" si="45"/>
        <v>-1</v>
      </c>
      <c r="K981" t="s">
        <v>20</v>
      </c>
      <c r="L981">
        <f t="shared" si="46"/>
        <v>1</v>
      </c>
      <c r="M981">
        <v>10</v>
      </c>
      <c r="N981">
        <v>4</v>
      </c>
      <c r="O981">
        <f t="shared" si="47"/>
        <v>1</v>
      </c>
    </row>
    <row r="982" spans="1:15" x14ac:dyDescent="0.3">
      <c r="A982" t="s">
        <v>15</v>
      </c>
      <c r="B982" t="s">
        <v>226</v>
      </c>
      <c r="C982" t="s">
        <v>227</v>
      </c>
      <c r="D982">
        <v>2</v>
      </c>
      <c r="E982" t="s">
        <v>18</v>
      </c>
      <c r="F982" t="s">
        <v>19</v>
      </c>
      <c r="G982">
        <v>34</v>
      </c>
      <c r="H982">
        <v>14</v>
      </c>
      <c r="I982">
        <v>48</v>
      </c>
      <c r="J982">
        <f t="shared" si="45"/>
        <v>20</v>
      </c>
      <c r="K982" t="s">
        <v>87</v>
      </c>
      <c r="L982">
        <f t="shared" si="46"/>
        <v>0</v>
      </c>
      <c r="M982">
        <v>0</v>
      </c>
      <c r="N982">
        <v>4</v>
      </c>
      <c r="O982">
        <f t="shared" si="47"/>
        <v>1</v>
      </c>
    </row>
    <row r="983" spans="1:15" x14ac:dyDescent="0.3">
      <c r="A983" t="s">
        <v>15</v>
      </c>
      <c r="B983" t="s">
        <v>226</v>
      </c>
      <c r="C983" t="s">
        <v>227</v>
      </c>
      <c r="D983">
        <v>2</v>
      </c>
      <c r="E983" t="s">
        <v>35</v>
      </c>
      <c r="F983" t="s">
        <v>36</v>
      </c>
      <c r="G983">
        <v>24</v>
      </c>
      <c r="H983">
        <v>6</v>
      </c>
      <c r="I983">
        <v>30</v>
      </c>
      <c r="J983">
        <f t="shared" si="45"/>
        <v>18</v>
      </c>
      <c r="K983" t="s">
        <v>87</v>
      </c>
      <c r="L983">
        <f t="shared" si="46"/>
        <v>0</v>
      </c>
      <c r="M983">
        <v>0</v>
      </c>
      <c r="N983">
        <v>3</v>
      </c>
      <c r="O983">
        <f t="shared" si="47"/>
        <v>1</v>
      </c>
    </row>
    <row r="984" spans="1:15" x14ac:dyDescent="0.3">
      <c r="A984" t="s">
        <v>15</v>
      </c>
      <c r="B984" t="s">
        <v>226</v>
      </c>
      <c r="C984" t="s">
        <v>227</v>
      </c>
      <c r="D984">
        <v>2</v>
      </c>
      <c r="E984" t="s">
        <v>37</v>
      </c>
      <c r="F984" t="s">
        <v>38</v>
      </c>
      <c r="G984">
        <v>20</v>
      </c>
      <c r="H984">
        <v>9</v>
      </c>
      <c r="I984">
        <v>29</v>
      </c>
      <c r="J984">
        <f t="shared" si="45"/>
        <v>11</v>
      </c>
      <c r="K984" t="s">
        <v>87</v>
      </c>
      <c r="L984">
        <f t="shared" si="46"/>
        <v>0</v>
      </c>
      <c r="M984">
        <v>0</v>
      </c>
      <c r="N984">
        <v>3</v>
      </c>
      <c r="O984">
        <f t="shared" si="47"/>
        <v>1</v>
      </c>
    </row>
    <row r="985" spans="1:15" x14ac:dyDescent="0.3">
      <c r="A985" t="s">
        <v>15</v>
      </c>
      <c r="B985" t="s">
        <v>226</v>
      </c>
      <c r="C985" t="s">
        <v>227</v>
      </c>
      <c r="D985">
        <v>2</v>
      </c>
      <c r="E985" t="s">
        <v>21</v>
      </c>
      <c r="F985" t="s">
        <v>22</v>
      </c>
      <c r="G985">
        <v>36</v>
      </c>
      <c r="H985">
        <v>33</v>
      </c>
      <c r="I985">
        <v>69</v>
      </c>
      <c r="J985">
        <f t="shared" si="45"/>
        <v>3</v>
      </c>
      <c r="K985" t="s">
        <v>20</v>
      </c>
      <c r="L985">
        <f t="shared" si="46"/>
        <v>1</v>
      </c>
      <c r="M985">
        <v>7</v>
      </c>
      <c r="N985">
        <v>4</v>
      </c>
      <c r="O985">
        <f t="shared" si="47"/>
        <v>1</v>
      </c>
    </row>
    <row r="986" spans="1:15" x14ac:dyDescent="0.3">
      <c r="A986" t="s">
        <v>15</v>
      </c>
      <c r="B986" t="s">
        <v>226</v>
      </c>
      <c r="C986" t="s">
        <v>227</v>
      </c>
      <c r="D986">
        <v>2</v>
      </c>
      <c r="E986" t="s">
        <v>23</v>
      </c>
      <c r="F986" t="s">
        <v>24</v>
      </c>
      <c r="G986">
        <v>74</v>
      </c>
      <c r="H986">
        <v>0</v>
      </c>
      <c r="I986">
        <v>74</v>
      </c>
      <c r="J986">
        <f t="shared" si="45"/>
        <v>0</v>
      </c>
      <c r="K986" t="s">
        <v>20</v>
      </c>
      <c r="L986">
        <f t="shared" si="46"/>
        <v>1</v>
      </c>
      <c r="M986">
        <v>8</v>
      </c>
      <c r="N986">
        <v>1</v>
      </c>
      <c r="O986">
        <f t="shared" si="47"/>
        <v>0</v>
      </c>
    </row>
    <row r="987" spans="1:15" x14ac:dyDescent="0.3">
      <c r="A987" t="s">
        <v>15</v>
      </c>
      <c r="B987" t="s">
        <v>226</v>
      </c>
      <c r="C987" t="s">
        <v>227</v>
      </c>
      <c r="D987">
        <v>2</v>
      </c>
      <c r="E987" t="s">
        <v>25</v>
      </c>
      <c r="F987" t="s">
        <v>26</v>
      </c>
      <c r="G987">
        <v>36</v>
      </c>
      <c r="H987">
        <v>30</v>
      </c>
      <c r="I987">
        <v>66</v>
      </c>
      <c r="J987">
        <f t="shared" si="45"/>
        <v>6</v>
      </c>
      <c r="K987" t="s">
        <v>20</v>
      </c>
      <c r="L987">
        <f t="shared" si="46"/>
        <v>1</v>
      </c>
      <c r="M987">
        <v>7</v>
      </c>
      <c r="N987">
        <v>1</v>
      </c>
      <c r="O987">
        <f t="shared" si="47"/>
        <v>1</v>
      </c>
    </row>
    <row r="988" spans="1:15" x14ac:dyDescent="0.3">
      <c r="A988" t="s">
        <v>15</v>
      </c>
      <c r="B988" t="s">
        <v>226</v>
      </c>
      <c r="C988" t="s">
        <v>227</v>
      </c>
      <c r="D988">
        <v>2</v>
      </c>
      <c r="E988" t="s">
        <v>27</v>
      </c>
      <c r="F988" t="s">
        <v>28</v>
      </c>
      <c r="G988">
        <v>24</v>
      </c>
      <c r="H988">
        <v>38</v>
      </c>
      <c r="I988">
        <v>62</v>
      </c>
      <c r="J988">
        <f t="shared" si="45"/>
        <v>-14</v>
      </c>
      <c r="K988" t="s">
        <v>20</v>
      </c>
      <c r="L988">
        <f t="shared" si="46"/>
        <v>1</v>
      </c>
      <c r="M988">
        <v>7</v>
      </c>
      <c r="N988">
        <v>2</v>
      </c>
      <c r="O988">
        <f t="shared" si="47"/>
        <v>1</v>
      </c>
    </row>
    <row r="989" spans="1:15" x14ac:dyDescent="0.3">
      <c r="A989" t="s">
        <v>15</v>
      </c>
      <c r="B989" t="s">
        <v>226</v>
      </c>
      <c r="C989" t="s">
        <v>227</v>
      </c>
      <c r="D989">
        <v>2</v>
      </c>
      <c r="E989" t="s">
        <v>217</v>
      </c>
      <c r="F989" t="s">
        <v>218</v>
      </c>
      <c r="G989">
        <v>83</v>
      </c>
      <c r="H989">
        <v>0</v>
      </c>
      <c r="I989">
        <v>83</v>
      </c>
      <c r="J989">
        <f t="shared" si="45"/>
        <v>0</v>
      </c>
      <c r="K989" t="s">
        <v>20</v>
      </c>
      <c r="L989">
        <f t="shared" si="46"/>
        <v>1</v>
      </c>
      <c r="M989">
        <v>9</v>
      </c>
      <c r="N989">
        <v>1</v>
      </c>
      <c r="O989">
        <f t="shared" si="47"/>
        <v>0</v>
      </c>
    </row>
    <row r="990" spans="1:15" x14ac:dyDescent="0.3">
      <c r="A990" t="s">
        <v>15</v>
      </c>
      <c r="B990" t="s">
        <v>226</v>
      </c>
      <c r="C990" t="s">
        <v>227</v>
      </c>
      <c r="D990">
        <v>2</v>
      </c>
      <c r="E990" t="s">
        <v>31</v>
      </c>
      <c r="F990" t="s">
        <v>32</v>
      </c>
      <c r="G990">
        <v>92</v>
      </c>
      <c r="H990">
        <v>0</v>
      </c>
      <c r="I990">
        <v>92</v>
      </c>
      <c r="J990">
        <f t="shared" si="45"/>
        <v>0</v>
      </c>
      <c r="K990" t="s">
        <v>20</v>
      </c>
      <c r="L990">
        <f t="shared" si="46"/>
        <v>1</v>
      </c>
      <c r="M990">
        <v>10</v>
      </c>
      <c r="N990">
        <v>1</v>
      </c>
      <c r="O990">
        <f t="shared" si="47"/>
        <v>0</v>
      </c>
    </row>
    <row r="991" spans="1:15" x14ac:dyDescent="0.3">
      <c r="A991" t="s">
        <v>15</v>
      </c>
      <c r="B991" t="s">
        <v>226</v>
      </c>
      <c r="C991" t="s">
        <v>227</v>
      </c>
      <c r="D991">
        <v>2</v>
      </c>
      <c r="E991" t="s">
        <v>33</v>
      </c>
      <c r="F991" t="s">
        <v>34</v>
      </c>
      <c r="G991">
        <v>33</v>
      </c>
      <c r="H991">
        <v>23</v>
      </c>
      <c r="I991">
        <v>56</v>
      </c>
      <c r="J991">
        <f t="shared" si="45"/>
        <v>10</v>
      </c>
      <c r="K991" t="s">
        <v>20</v>
      </c>
      <c r="L991">
        <f t="shared" si="46"/>
        <v>1</v>
      </c>
      <c r="M991">
        <v>6</v>
      </c>
      <c r="N991">
        <v>4</v>
      </c>
      <c r="O991">
        <f t="shared" si="47"/>
        <v>1</v>
      </c>
    </row>
    <row r="992" spans="1:15" x14ac:dyDescent="0.3">
      <c r="A992" t="s">
        <v>15</v>
      </c>
      <c r="B992" t="s">
        <v>226</v>
      </c>
      <c r="C992" t="s">
        <v>227</v>
      </c>
      <c r="D992">
        <v>1</v>
      </c>
      <c r="E992" t="s">
        <v>39</v>
      </c>
      <c r="F992" t="s">
        <v>40</v>
      </c>
      <c r="G992">
        <v>92</v>
      </c>
      <c r="H992">
        <v>0</v>
      </c>
      <c r="I992">
        <v>92</v>
      </c>
      <c r="J992">
        <f t="shared" si="45"/>
        <v>0</v>
      </c>
      <c r="K992" t="s">
        <v>20</v>
      </c>
      <c r="L992">
        <f t="shared" si="46"/>
        <v>1</v>
      </c>
      <c r="M992">
        <v>10</v>
      </c>
      <c r="N992">
        <v>1</v>
      </c>
      <c r="O992">
        <f t="shared" si="47"/>
        <v>0</v>
      </c>
    </row>
    <row r="993" spans="1:15" x14ac:dyDescent="0.3">
      <c r="A993" t="s">
        <v>15</v>
      </c>
      <c r="B993" t="s">
        <v>226</v>
      </c>
      <c r="C993" t="s">
        <v>227</v>
      </c>
      <c r="D993">
        <v>1</v>
      </c>
      <c r="E993" t="s">
        <v>41</v>
      </c>
      <c r="F993" t="s">
        <v>42</v>
      </c>
      <c r="G993">
        <v>26</v>
      </c>
      <c r="H993">
        <v>30</v>
      </c>
      <c r="I993">
        <v>56</v>
      </c>
      <c r="J993">
        <f t="shared" si="45"/>
        <v>-4</v>
      </c>
      <c r="K993" t="s">
        <v>20</v>
      </c>
      <c r="L993">
        <f t="shared" si="46"/>
        <v>1</v>
      </c>
      <c r="M993">
        <v>7</v>
      </c>
      <c r="N993">
        <v>3</v>
      </c>
      <c r="O993">
        <f t="shared" si="47"/>
        <v>1</v>
      </c>
    </row>
    <row r="994" spans="1:15" x14ac:dyDescent="0.3">
      <c r="A994" t="s">
        <v>15</v>
      </c>
      <c r="B994" t="s">
        <v>226</v>
      </c>
      <c r="C994" t="s">
        <v>227</v>
      </c>
      <c r="D994">
        <v>1</v>
      </c>
      <c r="E994" t="s">
        <v>43</v>
      </c>
      <c r="F994" t="s">
        <v>44</v>
      </c>
      <c r="G994">
        <v>85</v>
      </c>
      <c r="H994">
        <v>0</v>
      </c>
      <c r="I994">
        <v>85</v>
      </c>
      <c r="J994">
        <f t="shared" si="45"/>
        <v>0</v>
      </c>
      <c r="K994" t="s">
        <v>20</v>
      </c>
      <c r="L994">
        <f t="shared" si="46"/>
        <v>1</v>
      </c>
      <c r="M994">
        <v>9</v>
      </c>
      <c r="N994">
        <v>1</v>
      </c>
      <c r="O994">
        <f t="shared" si="47"/>
        <v>0</v>
      </c>
    </row>
    <row r="995" spans="1:15" x14ac:dyDescent="0.3">
      <c r="A995" t="s">
        <v>15</v>
      </c>
      <c r="B995" t="s">
        <v>226</v>
      </c>
      <c r="C995" t="s">
        <v>227</v>
      </c>
      <c r="D995">
        <v>1</v>
      </c>
      <c r="E995" t="s">
        <v>45</v>
      </c>
      <c r="F995" t="s">
        <v>46</v>
      </c>
      <c r="G995">
        <v>25</v>
      </c>
      <c r="H995">
        <v>38</v>
      </c>
      <c r="I995">
        <v>63</v>
      </c>
      <c r="J995">
        <f t="shared" si="45"/>
        <v>-13</v>
      </c>
      <c r="K995" t="s">
        <v>20</v>
      </c>
      <c r="L995">
        <f t="shared" si="46"/>
        <v>1</v>
      </c>
      <c r="M995">
        <v>7</v>
      </c>
      <c r="N995">
        <v>1</v>
      </c>
      <c r="O995">
        <f t="shared" si="47"/>
        <v>1</v>
      </c>
    </row>
    <row r="996" spans="1:15" x14ac:dyDescent="0.3">
      <c r="A996" t="s">
        <v>15</v>
      </c>
      <c r="B996" t="s">
        <v>226</v>
      </c>
      <c r="C996" t="s">
        <v>227</v>
      </c>
      <c r="D996">
        <v>1</v>
      </c>
      <c r="E996" t="s">
        <v>65</v>
      </c>
      <c r="F996" t="s">
        <v>66</v>
      </c>
      <c r="G996">
        <v>84</v>
      </c>
      <c r="H996">
        <v>0</v>
      </c>
      <c r="I996">
        <v>84</v>
      </c>
      <c r="J996">
        <f t="shared" si="45"/>
        <v>0</v>
      </c>
      <c r="K996" t="s">
        <v>20</v>
      </c>
      <c r="L996">
        <f t="shared" si="46"/>
        <v>1</v>
      </c>
      <c r="M996">
        <v>9</v>
      </c>
      <c r="N996">
        <v>1</v>
      </c>
      <c r="O996">
        <f t="shared" si="47"/>
        <v>0</v>
      </c>
    </row>
    <row r="997" spans="1:15" x14ac:dyDescent="0.3">
      <c r="A997" t="s">
        <v>15</v>
      </c>
      <c r="B997" t="s">
        <v>226</v>
      </c>
      <c r="C997" t="s">
        <v>227</v>
      </c>
      <c r="D997">
        <v>1</v>
      </c>
      <c r="E997" t="s">
        <v>49</v>
      </c>
      <c r="F997" t="s">
        <v>50</v>
      </c>
      <c r="G997">
        <v>90</v>
      </c>
      <c r="H997">
        <v>0</v>
      </c>
      <c r="I997">
        <v>90</v>
      </c>
      <c r="J997">
        <f t="shared" si="45"/>
        <v>0</v>
      </c>
      <c r="K997" t="s">
        <v>20</v>
      </c>
      <c r="L997">
        <f t="shared" si="46"/>
        <v>1</v>
      </c>
      <c r="M997">
        <v>9</v>
      </c>
      <c r="N997">
        <v>1</v>
      </c>
      <c r="O997">
        <f t="shared" si="47"/>
        <v>0</v>
      </c>
    </row>
    <row r="998" spans="1:15" x14ac:dyDescent="0.3">
      <c r="A998" t="s">
        <v>15</v>
      </c>
      <c r="B998" t="s">
        <v>226</v>
      </c>
      <c r="C998" t="s">
        <v>227</v>
      </c>
      <c r="D998">
        <v>1</v>
      </c>
      <c r="E998" t="s">
        <v>51</v>
      </c>
      <c r="F998" t="s">
        <v>52</v>
      </c>
      <c r="G998">
        <v>79</v>
      </c>
      <c r="H998">
        <v>0</v>
      </c>
      <c r="I998">
        <v>79</v>
      </c>
      <c r="J998">
        <f t="shared" si="45"/>
        <v>0</v>
      </c>
      <c r="K998" t="s">
        <v>20</v>
      </c>
      <c r="L998">
        <f t="shared" si="46"/>
        <v>1</v>
      </c>
      <c r="M998">
        <v>8</v>
      </c>
      <c r="N998">
        <v>1</v>
      </c>
      <c r="O998">
        <f t="shared" si="47"/>
        <v>0</v>
      </c>
    </row>
    <row r="999" spans="1:15" x14ac:dyDescent="0.3">
      <c r="A999" t="s">
        <v>15</v>
      </c>
      <c r="B999" t="s">
        <v>226</v>
      </c>
      <c r="C999" t="s">
        <v>227</v>
      </c>
      <c r="D999">
        <v>1</v>
      </c>
      <c r="E999" t="s">
        <v>53</v>
      </c>
      <c r="F999" t="s">
        <v>54</v>
      </c>
      <c r="G999">
        <v>35</v>
      </c>
      <c r="H999">
        <v>34</v>
      </c>
      <c r="I999">
        <v>69</v>
      </c>
      <c r="J999">
        <f t="shared" si="45"/>
        <v>1</v>
      </c>
      <c r="K999" t="s">
        <v>20</v>
      </c>
      <c r="L999">
        <f t="shared" si="46"/>
        <v>1</v>
      </c>
      <c r="M999">
        <v>7</v>
      </c>
      <c r="N999">
        <v>4</v>
      </c>
      <c r="O999">
        <f t="shared" si="47"/>
        <v>1</v>
      </c>
    </row>
    <row r="1000" spans="1:15" x14ac:dyDescent="0.3">
      <c r="A1000" t="s">
        <v>15</v>
      </c>
      <c r="B1000" t="s">
        <v>226</v>
      </c>
      <c r="C1000" t="s">
        <v>227</v>
      </c>
      <c r="D1000">
        <v>1</v>
      </c>
      <c r="E1000" t="s">
        <v>55</v>
      </c>
      <c r="F1000" t="s">
        <v>56</v>
      </c>
      <c r="G1000">
        <v>34</v>
      </c>
      <c r="H1000">
        <v>42</v>
      </c>
      <c r="I1000">
        <v>76</v>
      </c>
      <c r="J1000">
        <f t="shared" si="45"/>
        <v>-8</v>
      </c>
      <c r="K1000" t="s">
        <v>20</v>
      </c>
      <c r="L1000">
        <f t="shared" si="46"/>
        <v>1</v>
      </c>
      <c r="M1000">
        <v>8</v>
      </c>
      <c r="N1000">
        <v>3</v>
      </c>
      <c r="O1000">
        <f t="shared" si="47"/>
        <v>1</v>
      </c>
    </row>
    <row r="1001" spans="1:15" x14ac:dyDescent="0.3">
      <c r="A1001" t="s">
        <v>15</v>
      </c>
      <c r="B1001" t="s">
        <v>226</v>
      </c>
      <c r="C1001" t="s">
        <v>227</v>
      </c>
      <c r="D1001">
        <v>1</v>
      </c>
      <c r="E1001" t="s">
        <v>57</v>
      </c>
      <c r="F1001" t="s">
        <v>58</v>
      </c>
      <c r="G1001">
        <v>34</v>
      </c>
      <c r="H1001">
        <v>33</v>
      </c>
      <c r="I1001">
        <v>67</v>
      </c>
      <c r="J1001">
        <f t="shared" si="45"/>
        <v>1</v>
      </c>
      <c r="K1001" t="s">
        <v>20</v>
      </c>
      <c r="L1001">
        <f t="shared" si="46"/>
        <v>1</v>
      </c>
      <c r="M1001">
        <v>8</v>
      </c>
      <c r="N1001">
        <v>4</v>
      </c>
      <c r="O1001">
        <f t="shared" si="47"/>
        <v>1</v>
      </c>
    </row>
    <row r="1002" spans="1:15" x14ac:dyDescent="0.3">
      <c r="A1002" t="s">
        <v>15</v>
      </c>
      <c r="B1002" t="s">
        <v>228</v>
      </c>
      <c r="C1002" t="s">
        <v>229</v>
      </c>
      <c r="D1002">
        <v>2</v>
      </c>
      <c r="E1002" t="s">
        <v>21</v>
      </c>
      <c r="F1002" t="s">
        <v>22</v>
      </c>
      <c r="G1002">
        <v>37</v>
      </c>
      <c r="H1002">
        <v>14</v>
      </c>
      <c r="I1002">
        <v>51</v>
      </c>
      <c r="J1002">
        <f t="shared" si="45"/>
        <v>23</v>
      </c>
      <c r="K1002" t="s">
        <v>87</v>
      </c>
      <c r="L1002">
        <f t="shared" si="46"/>
        <v>0</v>
      </c>
      <c r="M1002">
        <v>0</v>
      </c>
      <c r="N1002">
        <v>4</v>
      </c>
      <c r="O1002">
        <f t="shared" si="47"/>
        <v>1</v>
      </c>
    </row>
    <row r="1003" spans="1:15" x14ac:dyDescent="0.3">
      <c r="A1003" t="s">
        <v>15</v>
      </c>
      <c r="B1003" t="s">
        <v>228</v>
      </c>
      <c r="C1003" t="s">
        <v>229</v>
      </c>
      <c r="D1003">
        <v>2</v>
      </c>
      <c r="E1003" t="s">
        <v>33</v>
      </c>
      <c r="F1003" t="s">
        <v>34</v>
      </c>
      <c r="G1003">
        <v>28</v>
      </c>
      <c r="H1003">
        <v>1</v>
      </c>
      <c r="I1003">
        <v>29</v>
      </c>
      <c r="J1003">
        <f t="shared" si="45"/>
        <v>27</v>
      </c>
      <c r="K1003" t="s">
        <v>87</v>
      </c>
      <c r="L1003">
        <f t="shared" si="46"/>
        <v>0</v>
      </c>
      <c r="M1003">
        <v>0</v>
      </c>
      <c r="N1003">
        <v>4</v>
      </c>
      <c r="O1003">
        <f t="shared" si="47"/>
        <v>1</v>
      </c>
    </row>
    <row r="1004" spans="1:15" x14ac:dyDescent="0.3">
      <c r="A1004" t="s">
        <v>15</v>
      </c>
      <c r="B1004" t="s">
        <v>228</v>
      </c>
      <c r="C1004" t="s">
        <v>229</v>
      </c>
      <c r="D1004">
        <v>2</v>
      </c>
      <c r="E1004" t="s">
        <v>35</v>
      </c>
      <c r="F1004" t="s">
        <v>36</v>
      </c>
      <c r="G1004">
        <v>13</v>
      </c>
      <c r="H1004">
        <v>31</v>
      </c>
      <c r="I1004">
        <v>44</v>
      </c>
      <c r="J1004">
        <f t="shared" si="45"/>
        <v>-18</v>
      </c>
      <c r="K1004" t="s">
        <v>87</v>
      </c>
      <c r="L1004">
        <f t="shared" si="46"/>
        <v>0</v>
      </c>
      <c r="M1004">
        <v>0</v>
      </c>
      <c r="N1004">
        <v>3</v>
      </c>
      <c r="O1004">
        <f t="shared" si="47"/>
        <v>1</v>
      </c>
    </row>
    <row r="1005" spans="1:15" x14ac:dyDescent="0.3">
      <c r="A1005" t="s">
        <v>15</v>
      </c>
      <c r="B1005" t="s">
        <v>228</v>
      </c>
      <c r="C1005" t="s">
        <v>229</v>
      </c>
      <c r="D1005">
        <v>2</v>
      </c>
      <c r="E1005" t="s">
        <v>37</v>
      </c>
      <c r="F1005" t="s">
        <v>38</v>
      </c>
      <c r="G1005">
        <v>21</v>
      </c>
      <c r="H1005">
        <v>16</v>
      </c>
      <c r="I1005">
        <v>37</v>
      </c>
      <c r="J1005">
        <f t="shared" si="45"/>
        <v>5</v>
      </c>
      <c r="K1005" t="s">
        <v>87</v>
      </c>
      <c r="L1005">
        <f t="shared" si="46"/>
        <v>0</v>
      </c>
      <c r="M1005">
        <v>0</v>
      </c>
      <c r="N1005">
        <v>3</v>
      </c>
      <c r="O1005">
        <f t="shared" si="47"/>
        <v>1</v>
      </c>
    </row>
    <row r="1006" spans="1:15" x14ac:dyDescent="0.3">
      <c r="A1006" t="s">
        <v>15</v>
      </c>
      <c r="B1006" t="s">
        <v>228</v>
      </c>
      <c r="C1006" t="s">
        <v>229</v>
      </c>
      <c r="D1006">
        <v>2</v>
      </c>
      <c r="E1006" t="s">
        <v>18</v>
      </c>
      <c r="F1006" t="s">
        <v>19</v>
      </c>
      <c r="G1006">
        <v>39</v>
      </c>
      <c r="H1006">
        <v>23</v>
      </c>
      <c r="I1006">
        <v>62</v>
      </c>
      <c r="J1006">
        <f t="shared" si="45"/>
        <v>16</v>
      </c>
      <c r="K1006" t="s">
        <v>20</v>
      </c>
      <c r="L1006">
        <f t="shared" si="46"/>
        <v>1</v>
      </c>
      <c r="M1006">
        <v>7</v>
      </c>
      <c r="N1006">
        <v>4</v>
      </c>
      <c r="O1006">
        <f t="shared" si="47"/>
        <v>1</v>
      </c>
    </row>
    <row r="1007" spans="1:15" x14ac:dyDescent="0.3">
      <c r="A1007" t="s">
        <v>15</v>
      </c>
      <c r="B1007" t="s">
        <v>228</v>
      </c>
      <c r="C1007" t="s">
        <v>229</v>
      </c>
      <c r="D1007">
        <v>2</v>
      </c>
      <c r="E1007" t="s">
        <v>41</v>
      </c>
      <c r="F1007" t="s">
        <v>42</v>
      </c>
      <c r="G1007">
        <v>16</v>
      </c>
      <c r="H1007">
        <v>14</v>
      </c>
      <c r="I1007">
        <v>30</v>
      </c>
      <c r="J1007">
        <f t="shared" si="45"/>
        <v>2</v>
      </c>
      <c r="K1007" t="s">
        <v>87</v>
      </c>
      <c r="L1007">
        <f t="shared" si="46"/>
        <v>0</v>
      </c>
      <c r="M1007">
        <v>0</v>
      </c>
      <c r="N1007">
        <v>3</v>
      </c>
      <c r="O1007">
        <f t="shared" si="47"/>
        <v>1</v>
      </c>
    </row>
    <row r="1008" spans="1:15" x14ac:dyDescent="0.3">
      <c r="A1008" t="s">
        <v>15</v>
      </c>
      <c r="B1008" t="s">
        <v>228</v>
      </c>
      <c r="C1008" t="s">
        <v>229</v>
      </c>
      <c r="D1008">
        <v>2</v>
      </c>
      <c r="E1008" t="s">
        <v>23</v>
      </c>
      <c r="F1008" t="s">
        <v>24</v>
      </c>
      <c r="G1008">
        <v>86</v>
      </c>
      <c r="H1008">
        <v>0</v>
      </c>
      <c r="I1008">
        <v>86</v>
      </c>
      <c r="J1008">
        <f t="shared" si="45"/>
        <v>0</v>
      </c>
      <c r="K1008" t="s">
        <v>20</v>
      </c>
      <c r="L1008">
        <f t="shared" si="46"/>
        <v>1</v>
      </c>
      <c r="M1008">
        <v>9</v>
      </c>
      <c r="N1008">
        <v>1</v>
      </c>
      <c r="O1008">
        <f t="shared" si="47"/>
        <v>0</v>
      </c>
    </row>
    <row r="1009" spans="1:15" x14ac:dyDescent="0.3">
      <c r="A1009" t="s">
        <v>15</v>
      </c>
      <c r="B1009" t="s">
        <v>228</v>
      </c>
      <c r="C1009" t="s">
        <v>229</v>
      </c>
      <c r="D1009">
        <v>2</v>
      </c>
      <c r="E1009" t="s">
        <v>25</v>
      </c>
      <c r="F1009" t="s">
        <v>26</v>
      </c>
      <c r="G1009">
        <v>30</v>
      </c>
      <c r="H1009">
        <v>33</v>
      </c>
      <c r="I1009">
        <v>63</v>
      </c>
      <c r="J1009">
        <f t="shared" si="45"/>
        <v>-3</v>
      </c>
      <c r="K1009" t="s">
        <v>20</v>
      </c>
      <c r="L1009">
        <f t="shared" si="46"/>
        <v>1</v>
      </c>
      <c r="M1009">
        <v>7</v>
      </c>
      <c r="N1009">
        <v>1</v>
      </c>
      <c r="O1009">
        <f t="shared" si="47"/>
        <v>1</v>
      </c>
    </row>
    <row r="1010" spans="1:15" x14ac:dyDescent="0.3">
      <c r="A1010" t="s">
        <v>15</v>
      </c>
      <c r="B1010" t="s">
        <v>228</v>
      </c>
      <c r="C1010" t="s">
        <v>229</v>
      </c>
      <c r="D1010">
        <v>2</v>
      </c>
      <c r="E1010" t="s">
        <v>27</v>
      </c>
      <c r="F1010" t="s">
        <v>28</v>
      </c>
      <c r="G1010">
        <v>25</v>
      </c>
      <c r="H1010">
        <v>55</v>
      </c>
      <c r="I1010">
        <v>80</v>
      </c>
      <c r="J1010">
        <f t="shared" si="45"/>
        <v>-30</v>
      </c>
      <c r="K1010" t="s">
        <v>20</v>
      </c>
      <c r="L1010">
        <f t="shared" si="46"/>
        <v>1</v>
      </c>
      <c r="M1010">
        <v>8</v>
      </c>
      <c r="N1010">
        <v>2</v>
      </c>
      <c r="O1010">
        <f t="shared" si="47"/>
        <v>1</v>
      </c>
    </row>
    <row r="1011" spans="1:15" x14ac:dyDescent="0.3">
      <c r="A1011" t="s">
        <v>15</v>
      </c>
      <c r="B1011" t="s">
        <v>228</v>
      </c>
      <c r="C1011" t="s">
        <v>229</v>
      </c>
      <c r="D1011">
        <v>2</v>
      </c>
      <c r="E1011" t="s">
        <v>230</v>
      </c>
      <c r="F1011" t="s">
        <v>231</v>
      </c>
      <c r="G1011">
        <v>78</v>
      </c>
      <c r="H1011">
        <v>0</v>
      </c>
      <c r="I1011">
        <v>78</v>
      </c>
      <c r="J1011">
        <f t="shared" si="45"/>
        <v>0</v>
      </c>
      <c r="K1011" t="s">
        <v>20</v>
      </c>
      <c r="L1011">
        <f t="shared" si="46"/>
        <v>1</v>
      </c>
      <c r="M1011">
        <v>8</v>
      </c>
      <c r="N1011">
        <v>1</v>
      </c>
      <c r="O1011">
        <f t="shared" si="47"/>
        <v>0</v>
      </c>
    </row>
    <row r="1012" spans="1:15" x14ac:dyDescent="0.3">
      <c r="A1012" t="s">
        <v>15</v>
      </c>
      <c r="B1012" t="s">
        <v>228</v>
      </c>
      <c r="C1012" t="s">
        <v>229</v>
      </c>
      <c r="D1012">
        <v>2</v>
      </c>
      <c r="E1012" t="s">
        <v>31</v>
      </c>
      <c r="F1012" t="s">
        <v>32</v>
      </c>
      <c r="G1012">
        <v>92</v>
      </c>
      <c r="H1012">
        <v>0</v>
      </c>
      <c r="I1012">
        <v>92</v>
      </c>
      <c r="J1012">
        <f t="shared" si="45"/>
        <v>0</v>
      </c>
      <c r="K1012" t="s">
        <v>20</v>
      </c>
      <c r="L1012">
        <f t="shared" si="46"/>
        <v>1</v>
      </c>
      <c r="M1012">
        <v>10</v>
      </c>
      <c r="N1012">
        <v>1</v>
      </c>
      <c r="O1012">
        <f t="shared" si="47"/>
        <v>0</v>
      </c>
    </row>
    <row r="1013" spans="1:15" x14ac:dyDescent="0.3">
      <c r="A1013" t="s">
        <v>15</v>
      </c>
      <c r="B1013" t="s">
        <v>228</v>
      </c>
      <c r="C1013" t="s">
        <v>229</v>
      </c>
      <c r="D1013">
        <v>2</v>
      </c>
      <c r="E1013" t="s">
        <v>53</v>
      </c>
      <c r="F1013" t="s">
        <v>54</v>
      </c>
      <c r="G1013">
        <v>28</v>
      </c>
      <c r="H1013">
        <v>0</v>
      </c>
      <c r="I1013">
        <v>28</v>
      </c>
      <c r="J1013">
        <f t="shared" si="45"/>
        <v>0</v>
      </c>
      <c r="K1013" t="s">
        <v>221</v>
      </c>
      <c r="L1013">
        <f t="shared" si="46"/>
        <v>0</v>
      </c>
      <c r="M1013">
        <v>0</v>
      </c>
      <c r="N1013">
        <v>4</v>
      </c>
      <c r="O1013">
        <f t="shared" si="47"/>
        <v>0</v>
      </c>
    </row>
    <row r="1014" spans="1:15" x14ac:dyDescent="0.3">
      <c r="A1014" t="s">
        <v>15</v>
      </c>
      <c r="B1014" t="s">
        <v>228</v>
      </c>
      <c r="C1014" t="s">
        <v>229</v>
      </c>
      <c r="D1014">
        <v>2</v>
      </c>
      <c r="E1014" t="s">
        <v>57</v>
      </c>
      <c r="F1014" t="s">
        <v>58</v>
      </c>
      <c r="G1014">
        <v>29</v>
      </c>
      <c r="H1014">
        <v>0</v>
      </c>
      <c r="I1014">
        <v>29</v>
      </c>
      <c r="J1014">
        <f t="shared" si="45"/>
        <v>0</v>
      </c>
      <c r="K1014" t="s">
        <v>221</v>
      </c>
      <c r="L1014">
        <f t="shared" si="46"/>
        <v>0</v>
      </c>
      <c r="M1014">
        <v>0</v>
      </c>
      <c r="N1014">
        <v>4</v>
      </c>
      <c r="O1014">
        <f t="shared" si="47"/>
        <v>0</v>
      </c>
    </row>
    <row r="1015" spans="1:15" x14ac:dyDescent="0.3">
      <c r="A1015" t="s">
        <v>15</v>
      </c>
      <c r="B1015" t="s">
        <v>228</v>
      </c>
      <c r="C1015" t="s">
        <v>229</v>
      </c>
      <c r="D1015">
        <v>1</v>
      </c>
      <c r="E1015" t="s">
        <v>39</v>
      </c>
      <c r="F1015" t="s">
        <v>40</v>
      </c>
      <c r="G1015">
        <v>95</v>
      </c>
      <c r="H1015">
        <v>0</v>
      </c>
      <c r="I1015">
        <v>95</v>
      </c>
      <c r="J1015">
        <f t="shared" si="45"/>
        <v>0</v>
      </c>
      <c r="K1015" t="s">
        <v>20</v>
      </c>
      <c r="L1015">
        <f t="shared" si="46"/>
        <v>1</v>
      </c>
      <c r="M1015">
        <v>10</v>
      </c>
      <c r="N1015">
        <v>1</v>
      </c>
      <c r="O1015">
        <f t="shared" si="47"/>
        <v>0</v>
      </c>
    </row>
    <row r="1016" spans="1:15" x14ac:dyDescent="0.3">
      <c r="A1016" t="s">
        <v>15</v>
      </c>
      <c r="B1016" t="s">
        <v>228</v>
      </c>
      <c r="C1016" t="s">
        <v>229</v>
      </c>
      <c r="D1016">
        <v>1</v>
      </c>
      <c r="E1016" t="s">
        <v>41</v>
      </c>
      <c r="F1016" t="s">
        <v>42</v>
      </c>
      <c r="G1016">
        <v>16</v>
      </c>
      <c r="H1016">
        <v>3</v>
      </c>
      <c r="I1016">
        <v>19</v>
      </c>
      <c r="J1016">
        <f t="shared" si="45"/>
        <v>13</v>
      </c>
      <c r="K1016" t="s">
        <v>87</v>
      </c>
      <c r="L1016">
        <f t="shared" si="46"/>
        <v>0</v>
      </c>
      <c r="M1016">
        <v>0</v>
      </c>
      <c r="N1016">
        <v>3</v>
      </c>
      <c r="O1016">
        <f t="shared" si="47"/>
        <v>1</v>
      </c>
    </row>
    <row r="1017" spans="1:15" x14ac:dyDescent="0.3">
      <c r="A1017" t="s">
        <v>15</v>
      </c>
      <c r="B1017" t="s">
        <v>228</v>
      </c>
      <c r="C1017" t="s">
        <v>229</v>
      </c>
      <c r="D1017">
        <v>1</v>
      </c>
      <c r="E1017" t="s">
        <v>43</v>
      </c>
      <c r="F1017" t="s">
        <v>44</v>
      </c>
      <c r="G1017">
        <v>60</v>
      </c>
      <c r="H1017">
        <v>0</v>
      </c>
      <c r="I1017">
        <v>60</v>
      </c>
      <c r="J1017">
        <f t="shared" si="45"/>
        <v>0</v>
      </c>
      <c r="K1017" t="s">
        <v>20</v>
      </c>
      <c r="L1017">
        <f t="shared" si="46"/>
        <v>1</v>
      </c>
      <c r="M1017">
        <v>6</v>
      </c>
      <c r="N1017">
        <v>1</v>
      </c>
      <c r="O1017">
        <f t="shared" si="47"/>
        <v>0</v>
      </c>
    </row>
    <row r="1018" spans="1:15" x14ac:dyDescent="0.3">
      <c r="A1018" t="s">
        <v>15</v>
      </c>
      <c r="B1018" t="s">
        <v>228</v>
      </c>
      <c r="C1018" t="s">
        <v>229</v>
      </c>
      <c r="D1018">
        <v>1</v>
      </c>
      <c r="E1018" t="s">
        <v>45</v>
      </c>
      <c r="F1018" t="s">
        <v>46</v>
      </c>
      <c r="G1018">
        <v>25</v>
      </c>
      <c r="H1018">
        <v>43</v>
      </c>
      <c r="I1018">
        <v>68</v>
      </c>
      <c r="J1018">
        <f t="shared" si="45"/>
        <v>-18</v>
      </c>
      <c r="K1018" t="s">
        <v>20</v>
      </c>
      <c r="L1018">
        <f t="shared" si="46"/>
        <v>1</v>
      </c>
      <c r="M1018">
        <v>7</v>
      </c>
      <c r="N1018">
        <v>1</v>
      </c>
      <c r="O1018">
        <f t="shared" si="47"/>
        <v>1</v>
      </c>
    </row>
    <row r="1019" spans="1:15" x14ac:dyDescent="0.3">
      <c r="A1019" t="s">
        <v>15</v>
      </c>
      <c r="B1019" t="s">
        <v>228</v>
      </c>
      <c r="C1019" t="s">
        <v>229</v>
      </c>
      <c r="D1019">
        <v>1</v>
      </c>
      <c r="E1019" t="s">
        <v>49</v>
      </c>
      <c r="F1019" t="s">
        <v>50</v>
      </c>
      <c r="G1019">
        <v>90</v>
      </c>
      <c r="H1019">
        <v>0</v>
      </c>
      <c r="I1019">
        <v>90</v>
      </c>
      <c r="J1019">
        <f t="shared" si="45"/>
        <v>0</v>
      </c>
      <c r="K1019" t="s">
        <v>20</v>
      </c>
      <c r="L1019">
        <f t="shared" si="46"/>
        <v>1</v>
      </c>
      <c r="M1019">
        <v>9</v>
      </c>
      <c r="N1019">
        <v>1</v>
      </c>
      <c r="O1019">
        <f t="shared" si="47"/>
        <v>0</v>
      </c>
    </row>
    <row r="1020" spans="1:15" x14ac:dyDescent="0.3">
      <c r="A1020" t="s">
        <v>15</v>
      </c>
      <c r="B1020" t="s">
        <v>228</v>
      </c>
      <c r="C1020" t="s">
        <v>229</v>
      </c>
      <c r="D1020">
        <v>1</v>
      </c>
      <c r="E1020" t="s">
        <v>51</v>
      </c>
      <c r="F1020" t="s">
        <v>52</v>
      </c>
      <c r="G1020">
        <v>82</v>
      </c>
      <c r="H1020">
        <v>0</v>
      </c>
      <c r="I1020">
        <v>82</v>
      </c>
      <c r="J1020">
        <f t="shared" si="45"/>
        <v>0</v>
      </c>
      <c r="K1020" t="s">
        <v>20</v>
      </c>
      <c r="L1020">
        <f t="shared" si="46"/>
        <v>1</v>
      </c>
      <c r="M1020">
        <v>9</v>
      </c>
      <c r="N1020">
        <v>1</v>
      </c>
      <c r="O1020">
        <f t="shared" si="47"/>
        <v>0</v>
      </c>
    </row>
    <row r="1021" spans="1:15" x14ac:dyDescent="0.3">
      <c r="A1021" t="s">
        <v>15</v>
      </c>
      <c r="B1021" t="s">
        <v>228</v>
      </c>
      <c r="C1021" t="s">
        <v>229</v>
      </c>
      <c r="D1021">
        <v>1</v>
      </c>
      <c r="E1021" t="s">
        <v>53</v>
      </c>
      <c r="F1021" t="s">
        <v>54</v>
      </c>
      <c r="G1021">
        <v>28</v>
      </c>
      <c r="H1021">
        <v>5</v>
      </c>
      <c r="I1021">
        <v>33</v>
      </c>
      <c r="J1021">
        <f t="shared" si="45"/>
        <v>23</v>
      </c>
      <c r="K1021" t="s">
        <v>87</v>
      </c>
      <c r="L1021">
        <f t="shared" si="46"/>
        <v>0</v>
      </c>
      <c r="M1021">
        <v>0</v>
      </c>
      <c r="N1021">
        <v>4</v>
      </c>
      <c r="O1021">
        <f t="shared" si="47"/>
        <v>1</v>
      </c>
    </row>
    <row r="1022" spans="1:15" x14ac:dyDescent="0.3">
      <c r="A1022" t="s">
        <v>15</v>
      </c>
      <c r="B1022" t="s">
        <v>228</v>
      </c>
      <c r="C1022" t="s">
        <v>229</v>
      </c>
      <c r="D1022">
        <v>1</v>
      </c>
      <c r="E1022" t="s">
        <v>55</v>
      </c>
      <c r="F1022" t="s">
        <v>56</v>
      </c>
      <c r="G1022">
        <v>30</v>
      </c>
      <c r="H1022">
        <v>27</v>
      </c>
      <c r="I1022">
        <v>57</v>
      </c>
      <c r="J1022">
        <f t="shared" si="45"/>
        <v>3</v>
      </c>
      <c r="K1022" t="s">
        <v>20</v>
      </c>
      <c r="L1022">
        <f t="shared" si="46"/>
        <v>1</v>
      </c>
      <c r="M1022">
        <v>6</v>
      </c>
      <c r="N1022">
        <v>3</v>
      </c>
      <c r="O1022">
        <f t="shared" si="47"/>
        <v>1</v>
      </c>
    </row>
    <row r="1023" spans="1:15" x14ac:dyDescent="0.3">
      <c r="A1023" t="s">
        <v>15</v>
      </c>
      <c r="B1023" t="s">
        <v>228</v>
      </c>
      <c r="C1023" t="s">
        <v>229</v>
      </c>
      <c r="D1023">
        <v>1</v>
      </c>
      <c r="E1023" t="s">
        <v>57</v>
      </c>
      <c r="F1023" t="s">
        <v>58</v>
      </c>
      <c r="G1023">
        <v>29</v>
      </c>
      <c r="H1023">
        <v>15</v>
      </c>
      <c r="I1023">
        <v>44</v>
      </c>
      <c r="J1023">
        <f t="shared" si="45"/>
        <v>14</v>
      </c>
      <c r="K1023" t="s">
        <v>87</v>
      </c>
      <c r="L1023">
        <f t="shared" si="46"/>
        <v>0</v>
      </c>
      <c r="M1023">
        <v>0</v>
      </c>
      <c r="N1023">
        <v>4</v>
      </c>
      <c r="O1023">
        <f t="shared" si="47"/>
        <v>1</v>
      </c>
    </row>
    <row r="1024" spans="1:15" x14ac:dyDescent="0.3">
      <c r="A1024" t="s">
        <v>15</v>
      </c>
      <c r="B1024" t="s">
        <v>232</v>
      </c>
      <c r="C1024" t="s">
        <v>233</v>
      </c>
      <c r="D1024">
        <v>2</v>
      </c>
      <c r="E1024" t="s">
        <v>18</v>
      </c>
      <c r="F1024" t="s">
        <v>19</v>
      </c>
      <c r="G1024">
        <v>45</v>
      </c>
      <c r="H1024">
        <v>40</v>
      </c>
      <c r="I1024">
        <v>85</v>
      </c>
      <c r="J1024">
        <f t="shared" si="45"/>
        <v>5</v>
      </c>
      <c r="K1024" t="s">
        <v>20</v>
      </c>
      <c r="L1024">
        <f t="shared" si="46"/>
        <v>1</v>
      </c>
      <c r="M1024">
        <v>8</v>
      </c>
      <c r="N1024">
        <v>4</v>
      </c>
      <c r="O1024">
        <f t="shared" si="47"/>
        <v>1</v>
      </c>
    </row>
    <row r="1025" spans="1:15" x14ac:dyDescent="0.3">
      <c r="A1025" t="s">
        <v>15</v>
      </c>
      <c r="B1025" t="s">
        <v>232</v>
      </c>
      <c r="C1025" t="s">
        <v>233</v>
      </c>
      <c r="D1025">
        <v>2</v>
      </c>
      <c r="E1025" t="s">
        <v>21</v>
      </c>
      <c r="F1025" t="s">
        <v>22</v>
      </c>
      <c r="G1025">
        <v>38</v>
      </c>
      <c r="H1025">
        <v>34</v>
      </c>
      <c r="I1025">
        <v>72</v>
      </c>
      <c r="J1025">
        <f t="shared" si="45"/>
        <v>4</v>
      </c>
      <c r="K1025" t="s">
        <v>20</v>
      </c>
      <c r="L1025">
        <f t="shared" si="46"/>
        <v>1</v>
      </c>
      <c r="M1025">
        <v>7</v>
      </c>
      <c r="N1025">
        <v>4</v>
      </c>
      <c r="O1025">
        <f t="shared" si="47"/>
        <v>1</v>
      </c>
    </row>
    <row r="1026" spans="1:15" x14ac:dyDescent="0.3">
      <c r="A1026" t="s">
        <v>15</v>
      </c>
      <c r="B1026" t="s">
        <v>232</v>
      </c>
      <c r="C1026" t="s">
        <v>233</v>
      </c>
      <c r="D1026">
        <v>2</v>
      </c>
      <c r="E1026" t="s">
        <v>23</v>
      </c>
      <c r="F1026" t="s">
        <v>24</v>
      </c>
      <c r="G1026">
        <v>79</v>
      </c>
      <c r="H1026">
        <v>0</v>
      </c>
      <c r="I1026">
        <v>79</v>
      </c>
      <c r="J1026">
        <f t="shared" ref="J1026:J1089" si="48">IF(H1026=0,0,G1026-H1026)</f>
        <v>0</v>
      </c>
      <c r="K1026" t="s">
        <v>20</v>
      </c>
      <c r="L1026">
        <f t="shared" ref="L1026:L1089" si="49">IF(K1026="Pass",1,0)</f>
        <v>1</v>
      </c>
      <c r="M1026">
        <v>8</v>
      </c>
      <c r="N1026">
        <v>1</v>
      </c>
      <c r="O1026">
        <f t="shared" ref="O1026:O1089" si="50">IF(H1026=0,0,1)</f>
        <v>0</v>
      </c>
    </row>
    <row r="1027" spans="1:15" x14ac:dyDescent="0.3">
      <c r="A1027" t="s">
        <v>15</v>
      </c>
      <c r="B1027" t="s">
        <v>232</v>
      </c>
      <c r="C1027" t="s">
        <v>233</v>
      </c>
      <c r="D1027">
        <v>2</v>
      </c>
      <c r="E1027" t="s">
        <v>25</v>
      </c>
      <c r="F1027" t="s">
        <v>26</v>
      </c>
      <c r="G1027">
        <v>36</v>
      </c>
      <c r="H1027">
        <v>32</v>
      </c>
      <c r="I1027">
        <v>68</v>
      </c>
      <c r="J1027">
        <f t="shared" si="48"/>
        <v>4</v>
      </c>
      <c r="K1027" t="s">
        <v>20</v>
      </c>
      <c r="L1027">
        <f t="shared" si="49"/>
        <v>1</v>
      </c>
      <c r="M1027">
        <v>7</v>
      </c>
      <c r="N1027">
        <v>1</v>
      </c>
      <c r="O1027">
        <f t="shared" si="50"/>
        <v>1</v>
      </c>
    </row>
    <row r="1028" spans="1:15" x14ac:dyDescent="0.3">
      <c r="A1028" t="s">
        <v>15</v>
      </c>
      <c r="B1028" t="s">
        <v>232</v>
      </c>
      <c r="C1028" t="s">
        <v>233</v>
      </c>
      <c r="D1028">
        <v>2</v>
      </c>
      <c r="E1028" t="s">
        <v>27</v>
      </c>
      <c r="F1028" t="s">
        <v>28</v>
      </c>
      <c r="G1028">
        <v>31</v>
      </c>
      <c r="H1028">
        <v>45</v>
      </c>
      <c r="I1028">
        <v>76</v>
      </c>
      <c r="J1028">
        <f t="shared" si="48"/>
        <v>-14</v>
      </c>
      <c r="K1028" t="s">
        <v>20</v>
      </c>
      <c r="L1028">
        <f t="shared" si="49"/>
        <v>1</v>
      </c>
      <c r="M1028">
        <v>8</v>
      </c>
      <c r="N1028">
        <v>2</v>
      </c>
      <c r="O1028">
        <f t="shared" si="50"/>
        <v>1</v>
      </c>
    </row>
    <row r="1029" spans="1:15" x14ac:dyDescent="0.3">
      <c r="A1029" t="s">
        <v>15</v>
      </c>
      <c r="B1029" t="s">
        <v>232</v>
      </c>
      <c r="C1029" t="s">
        <v>233</v>
      </c>
      <c r="D1029">
        <v>2</v>
      </c>
      <c r="E1029" t="s">
        <v>165</v>
      </c>
      <c r="F1029" t="s">
        <v>166</v>
      </c>
      <c r="G1029">
        <v>86</v>
      </c>
      <c r="H1029">
        <v>0</v>
      </c>
      <c r="I1029">
        <v>86</v>
      </c>
      <c r="J1029">
        <f t="shared" si="48"/>
        <v>0</v>
      </c>
      <c r="K1029" t="s">
        <v>20</v>
      </c>
      <c r="L1029">
        <f t="shared" si="49"/>
        <v>1</v>
      </c>
      <c r="M1029">
        <v>9</v>
      </c>
      <c r="N1029">
        <v>1</v>
      </c>
      <c r="O1029">
        <f t="shared" si="50"/>
        <v>0</v>
      </c>
    </row>
    <row r="1030" spans="1:15" x14ac:dyDescent="0.3">
      <c r="A1030" t="s">
        <v>15</v>
      </c>
      <c r="B1030" t="s">
        <v>232</v>
      </c>
      <c r="C1030" t="s">
        <v>233</v>
      </c>
      <c r="D1030">
        <v>2</v>
      </c>
      <c r="E1030" t="s">
        <v>31</v>
      </c>
      <c r="F1030" t="s">
        <v>32</v>
      </c>
      <c r="G1030">
        <v>92</v>
      </c>
      <c r="H1030">
        <v>0</v>
      </c>
      <c r="I1030">
        <v>92</v>
      </c>
      <c r="J1030">
        <f t="shared" si="48"/>
        <v>0</v>
      </c>
      <c r="K1030" t="s">
        <v>20</v>
      </c>
      <c r="L1030">
        <f t="shared" si="49"/>
        <v>1</v>
      </c>
      <c r="M1030">
        <v>10</v>
      </c>
      <c r="N1030">
        <v>1</v>
      </c>
      <c r="O1030">
        <f t="shared" si="50"/>
        <v>0</v>
      </c>
    </row>
    <row r="1031" spans="1:15" x14ac:dyDescent="0.3">
      <c r="A1031" t="s">
        <v>15</v>
      </c>
      <c r="B1031" t="s">
        <v>232</v>
      </c>
      <c r="C1031" t="s">
        <v>233</v>
      </c>
      <c r="D1031">
        <v>2</v>
      </c>
      <c r="E1031" t="s">
        <v>33</v>
      </c>
      <c r="F1031" t="s">
        <v>34</v>
      </c>
      <c r="G1031">
        <v>47</v>
      </c>
      <c r="H1031">
        <v>33</v>
      </c>
      <c r="I1031">
        <v>80</v>
      </c>
      <c r="J1031">
        <f t="shared" si="48"/>
        <v>14</v>
      </c>
      <c r="K1031" t="s">
        <v>20</v>
      </c>
      <c r="L1031">
        <f t="shared" si="49"/>
        <v>1</v>
      </c>
      <c r="M1031">
        <v>8</v>
      </c>
      <c r="N1031">
        <v>4</v>
      </c>
      <c r="O1031">
        <f t="shared" si="50"/>
        <v>1</v>
      </c>
    </row>
    <row r="1032" spans="1:15" x14ac:dyDescent="0.3">
      <c r="A1032" t="s">
        <v>15</v>
      </c>
      <c r="B1032" t="s">
        <v>232</v>
      </c>
      <c r="C1032" t="s">
        <v>233</v>
      </c>
      <c r="D1032">
        <v>2</v>
      </c>
      <c r="E1032" t="s">
        <v>35</v>
      </c>
      <c r="F1032" t="s">
        <v>36</v>
      </c>
      <c r="G1032">
        <v>37</v>
      </c>
      <c r="H1032">
        <v>44</v>
      </c>
      <c r="I1032">
        <v>81</v>
      </c>
      <c r="J1032">
        <f t="shared" si="48"/>
        <v>-7</v>
      </c>
      <c r="K1032" t="s">
        <v>20</v>
      </c>
      <c r="L1032">
        <f t="shared" si="49"/>
        <v>1</v>
      </c>
      <c r="M1032">
        <v>9</v>
      </c>
      <c r="N1032">
        <v>3</v>
      </c>
      <c r="O1032">
        <f t="shared" si="50"/>
        <v>1</v>
      </c>
    </row>
    <row r="1033" spans="1:15" x14ac:dyDescent="0.3">
      <c r="A1033" t="s">
        <v>15</v>
      </c>
      <c r="B1033" t="s">
        <v>232</v>
      </c>
      <c r="C1033" t="s">
        <v>233</v>
      </c>
      <c r="D1033">
        <v>2</v>
      </c>
      <c r="E1033" t="s">
        <v>37</v>
      </c>
      <c r="F1033" t="s">
        <v>38</v>
      </c>
      <c r="G1033">
        <v>32</v>
      </c>
      <c r="H1033">
        <v>34</v>
      </c>
      <c r="I1033">
        <v>66</v>
      </c>
      <c r="J1033">
        <f t="shared" si="48"/>
        <v>-2</v>
      </c>
      <c r="K1033" t="s">
        <v>20</v>
      </c>
      <c r="L1033">
        <f t="shared" si="49"/>
        <v>1</v>
      </c>
      <c r="M1033">
        <v>7</v>
      </c>
      <c r="N1033">
        <v>3</v>
      </c>
      <c r="O1033">
        <f t="shared" si="50"/>
        <v>1</v>
      </c>
    </row>
    <row r="1034" spans="1:15" x14ac:dyDescent="0.3">
      <c r="A1034" t="s">
        <v>15</v>
      </c>
      <c r="B1034" t="s">
        <v>232</v>
      </c>
      <c r="C1034" t="s">
        <v>233</v>
      </c>
      <c r="D1034">
        <v>1</v>
      </c>
      <c r="E1034" t="s">
        <v>39</v>
      </c>
      <c r="F1034" t="s">
        <v>40</v>
      </c>
      <c r="G1034">
        <v>93</v>
      </c>
      <c r="H1034">
        <v>0</v>
      </c>
      <c r="I1034">
        <v>93</v>
      </c>
      <c r="J1034">
        <f t="shared" si="48"/>
        <v>0</v>
      </c>
      <c r="K1034" t="s">
        <v>20</v>
      </c>
      <c r="L1034">
        <f t="shared" si="49"/>
        <v>1</v>
      </c>
      <c r="M1034">
        <v>10</v>
      </c>
      <c r="N1034">
        <v>1</v>
      </c>
      <c r="O1034">
        <f t="shared" si="50"/>
        <v>0</v>
      </c>
    </row>
    <row r="1035" spans="1:15" x14ac:dyDescent="0.3">
      <c r="A1035" t="s">
        <v>15</v>
      </c>
      <c r="B1035" t="s">
        <v>232</v>
      </c>
      <c r="C1035" t="s">
        <v>233</v>
      </c>
      <c r="D1035">
        <v>1</v>
      </c>
      <c r="E1035" t="s">
        <v>41</v>
      </c>
      <c r="F1035" t="s">
        <v>42</v>
      </c>
      <c r="G1035">
        <v>28</v>
      </c>
      <c r="H1035">
        <v>30</v>
      </c>
      <c r="I1035">
        <v>58</v>
      </c>
      <c r="J1035">
        <f t="shared" si="48"/>
        <v>-2</v>
      </c>
      <c r="K1035" t="s">
        <v>20</v>
      </c>
      <c r="L1035">
        <f t="shared" si="49"/>
        <v>1</v>
      </c>
      <c r="M1035">
        <v>8</v>
      </c>
      <c r="N1035">
        <v>3</v>
      </c>
      <c r="O1035">
        <f t="shared" si="50"/>
        <v>1</v>
      </c>
    </row>
    <row r="1036" spans="1:15" x14ac:dyDescent="0.3">
      <c r="A1036" t="s">
        <v>15</v>
      </c>
      <c r="B1036" t="s">
        <v>232</v>
      </c>
      <c r="C1036" t="s">
        <v>233</v>
      </c>
      <c r="D1036">
        <v>1</v>
      </c>
      <c r="E1036" t="s">
        <v>43</v>
      </c>
      <c r="F1036" t="s">
        <v>44</v>
      </c>
      <c r="G1036">
        <v>73</v>
      </c>
      <c r="H1036">
        <v>0</v>
      </c>
      <c r="I1036">
        <v>73</v>
      </c>
      <c r="J1036">
        <f t="shared" si="48"/>
        <v>0</v>
      </c>
      <c r="K1036" t="s">
        <v>20</v>
      </c>
      <c r="L1036">
        <f t="shared" si="49"/>
        <v>1</v>
      </c>
      <c r="M1036">
        <v>8</v>
      </c>
      <c r="N1036">
        <v>1</v>
      </c>
      <c r="O1036">
        <f t="shared" si="50"/>
        <v>0</v>
      </c>
    </row>
    <row r="1037" spans="1:15" x14ac:dyDescent="0.3">
      <c r="A1037" t="s">
        <v>15</v>
      </c>
      <c r="B1037" t="s">
        <v>232</v>
      </c>
      <c r="C1037" t="s">
        <v>233</v>
      </c>
      <c r="D1037">
        <v>1</v>
      </c>
      <c r="E1037" t="s">
        <v>45</v>
      </c>
      <c r="F1037" t="s">
        <v>46</v>
      </c>
      <c r="G1037">
        <v>26</v>
      </c>
      <c r="H1037">
        <v>33</v>
      </c>
      <c r="I1037">
        <v>59</v>
      </c>
      <c r="J1037">
        <f t="shared" si="48"/>
        <v>-7</v>
      </c>
      <c r="K1037" t="s">
        <v>20</v>
      </c>
      <c r="L1037">
        <f t="shared" si="49"/>
        <v>1</v>
      </c>
      <c r="M1037">
        <v>6</v>
      </c>
      <c r="N1037">
        <v>1</v>
      </c>
      <c r="O1037">
        <f t="shared" si="50"/>
        <v>1</v>
      </c>
    </row>
    <row r="1038" spans="1:15" x14ac:dyDescent="0.3">
      <c r="A1038" t="s">
        <v>15</v>
      </c>
      <c r="B1038" t="s">
        <v>232</v>
      </c>
      <c r="C1038" t="s">
        <v>233</v>
      </c>
      <c r="D1038">
        <v>1</v>
      </c>
      <c r="E1038" t="s">
        <v>47</v>
      </c>
      <c r="F1038" t="s">
        <v>48</v>
      </c>
      <c r="G1038">
        <v>81</v>
      </c>
      <c r="H1038">
        <v>0</v>
      </c>
      <c r="I1038">
        <v>81</v>
      </c>
      <c r="J1038">
        <f t="shared" si="48"/>
        <v>0</v>
      </c>
      <c r="K1038" t="s">
        <v>20</v>
      </c>
      <c r="L1038">
        <f t="shared" si="49"/>
        <v>1</v>
      </c>
      <c r="M1038">
        <v>9</v>
      </c>
      <c r="N1038">
        <v>1</v>
      </c>
      <c r="O1038">
        <f t="shared" si="50"/>
        <v>0</v>
      </c>
    </row>
    <row r="1039" spans="1:15" x14ac:dyDescent="0.3">
      <c r="A1039" t="s">
        <v>15</v>
      </c>
      <c r="B1039" t="s">
        <v>232</v>
      </c>
      <c r="C1039" t="s">
        <v>233</v>
      </c>
      <c r="D1039">
        <v>1</v>
      </c>
      <c r="E1039" t="s">
        <v>49</v>
      </c>
      <c r="F1039" t="s">
        <v>50</v>
      </c>
      <c r="G1039">
        <v>80</v>
      </c>
      <c r="H1039">
        <v>0</v>
      </c>
      <c r="I1039">
        <v>80</v>
      </c>
      <c r="J1039">
        <f t="shared" si="48"/>
        <v>0</v>
      </c>
      <c r="K1039" t="s">
        <v>20</v>
      </c>
      <c r="L1039">
        <f t="shared" si="49"/>
        <v>1</v>
      </c>
      <c r="M1039">
        <v>8</v>
      </c>
      <c r="N1039">
        <v>1</v>
      </c>
      <c r="O1039">
        <f t="shared" si="50"/>
        <v>0</v>
      </c>
    </row>
    <row r="1040" spans="1:15" x14ac:dyDescent="0.3">
      <c r="A1040" t="s">
        <v>15</v>
      </c>
      <c r="B1040" t="s">
        <v>232</v>
      </c>
      <c r="C1040" t="s">
        <v>233</v>
      </c>
      <c r="D1040">
        <v>1</v>
      </c>
      <c r="E1040" t="s">
        <v>51</v>
      </c>
      <c r="F1040" t="s">
        <v>52</v>
      </c>
      <c r="G1040">
        <v>91</v>
      </c>
      <c r="H1040">
        <v>0</v>
      </c>
      <c r="I1040">
        <v>91</v>
      </c>
      <c r="J1040">
        <f t="shared" si="48"/>
        <v>0</v>
      </c>
      <c r="K1040" t="s">
        <v>20</v>
      </c>
      <c r="L1040">
        <f t="shared" si="49"/>
        <v>1</v>
      </c>
      <c r="M1040">
        <v>10</v>
      </c>
      <c r="N1040">
        <v>1</v>
      </c>
      <c r="O1040">
        <f t="shared" si="50"/>
        <v>0</v>
      </c>
    </row>
    <row r="1041" spans="1:15" x14ac:dyDescent="0.3">
      <c r="A1041" t="s">
        <v>15</v>
      </c>
      <c r="B1041" t="s">
        <v>232</v>
      </c>
      <c r="C1041" t="s">
        <v>233</v>
      </c>
      <c r="D1041">
        <v>1</v>
      </c>
      <c r="E1041" t="s">
        <v>53</v>
      </c>
      <c r="F1041" t="s">
        <v>54</v>
      </c>
      <c r="G1041">
        <v>45</v>
      </c>
      <c r="H1041">
        <v>44</v>
      </c>
      <c r="I1041">
        <v>89</v>
      </c>
      <c r="J1041">
        <f t="shared" si="48"/>
        <v>1</v>
      </c>
      <c r="K1041" t="s">
        <v>20</v>
      </c>
      <c r="L1041">
        <f t="shared" si="49"/>
        <v>1</v>
      </c>
      <c r="M1041">
        <v>9</v>
      </c>
      <c r="N1041">
        <v>4</v>
      </c>
      <c r="O1041">
        <f t="shared" si="50"/>
        <v>1</v>
      </c>
    </row>
    <row r="1042" spans="1:15" x14ac:dyDescent="0.3">
      <c r="A1042" t="s">
        <v>15</v>
      </c>
      <c r="B1042" t="s">
        <v>232</v>
      </c>
      <c r="C1042" t="s">
        <v>233</v>
      </c>
      <c r="D1042">
        <v>1</v>
      </c>
      <c r="E1042" t="s">
        <v>55</v>
      </c>
      <c r="F1042" t="s">
        <v>56</v>
      </c>
      <c r="G1042">
        <v>40</v>
      </c>
      <c r="H1042">
        <v>42</v>
      </c>
      <c r="I1042">
        <v>82</v>
      </c>
      <c r="J1042">
        <f t="shared" si="48"/>
        <v>-2</v>
      </c>
      <c r="K1042" t="s">
        <v>20</v>
      </c>
      <c r="L1042">
        <f t="shared" si="49"/>
        <v>1</v>
      </c>
      <c r="M1042">
        <v>8</v>
      </c>
      <c r="N1042">
        <v>3</v>
      </c>
      <c r="O1042">
        <f t="shared" si="50"/>
        <v>1</v>
      </c>
    </row>
    <row r="1043" spans="1:15" x14ac:dyDescent="0.3">
      <c r="A1043" t="s">
        <v>15</v>
      </c>
      <c r="B1043" t="s">
        <v>232</v>
      </c>
      <c r="C1043" t="s">
        <v>233</v>
      </c>
      <c r="D1043">
        <v>1</v>
      </c>
      <c r="E1043" t="s">
        <v>57</v>
      </c>
      <c r="F1043" t="s">
        <v>58</v>
      </c>
      <c r="G1043">
        <v>39</v>
      </c>
      <c r="H1043">
        <v>44</v>
      </c>
      <c r="I1043">
        <v>83</v>
      </c>
      <c r="J1043">
        <f t="shared" si="48"/>
        <v>-5</v>
      </c>
      <c r="K1043" t="s">
        <v>20</v>
      </c>
      <c r="L1043">
        <f t="shared" si="49"/>
        <v>1</v>
      </c>
      <c r="M1043">
        <v>9</v>
      </c>
      <c r="N1043">
        <v>4</v>
      </c>
      <c r="O1043">
        <f t="shared" si="50"/>
        <v>1</v>
      </c>
    </row>
    <row r="1044" spans="1:15" x14ac:dyDescent="0.3">
      <c r="A1044" t="s">
        <v>15</v>
      </c>
      <c r="B1044" t="s">
        <v>234</v>
      </c>
      <c r="C1044" t="s">
        <v>235</v>
      </c>
      <c r="D1044">
        <v>2</v>
      </c>
      <c r="E1044" t="s">
        <v>21</v>
      </c>
      <c r="F1044" t="s">
        <v>22</v>
      </c>
      <c r="G1044">
        <v>35</v>
      </c>
      <c r="H1044">
        <v>13</v>
      </c>
      <c r="I1044">
        <v>48</v>
      </c>
      <c r="J1044">
        <f t="shared" si="48"/>
        <v>22</v>
      </c>
      <c r="K1044" t="s">
        <v>87</v>
      </c>
      <c r="L1044">
        <f t="shared" si="49"/>
        <v>0</v>
      </c>
      <c r="M1044">
        <v>0</v>
      </c>
      <c r="N1044">
        <v>4</v>
      </c>
      <c r="O1044">
        <f t="shared" si="50"/>
        <v>1</v>
      </c>
    </row>
    <row r="1045" spans="1:15" x14ac:dyDescent="0.3">
      <c r="A1045" t="s">
        <v>15</v>
      </c>
      <c r="B1045" t="s">
        <v>234</v>
      </c>
      <c r="C1045" t="s">
        <v>235</v>
      </c>
      <c r="D1045">
        <v>2</v>
      </c>
      <c r="E1045" t="s">
        <v>37</v>
      </c>
      <c r="F1045" t="s">
        <v>38</v>
      </c>
      <c r="G1045">
        <v>20</v>
      </c>
      <c r="H1045">
        <v>4</v>
      </c>
      <c r="I1045">
        <v>24</v>
      </c>
      <c r="J1045">
        <f t="shared" si="48"/>
        <v>16</v>
      </c>
      <c r="K1045" t="s">
        <v>87</v>
      </c>
      <c r="L1045">
        <f t="shared" si="49"/>
        <v>0</v>
      </c>
      <c r="M1045">
        <v>0</v>
      </c>
      <c r="N1045">
        <v>3</v>
      </c>
      <c r="O1045">
        <f t="shared" si="50"/>
        <v>1</v>
      </c>
    </row>
    <row r="1046" spans="1:15" x14ac:dyDescent="0.3">
      <c r="A1046" t="s">
        <v>15</v>
      </c>
      <c r="B1046" t="s">
        <v>234</v>
      </c>
      <c r="C1046" t="s">
        <v>235</v>
      </c>
      <c r="D1046">
        <v>2</v>
      </c>
      <c r="E1046" t="s">
        <v>18</v>
      </c>
      <c r="F1046" t="s">
        <v>19</v>
      </c>
      <c r="G1046">
        <v>36</v>
      </c>
      <c r="H1046">
        <v>28</v>
      </c>
      <c r="I1046">
        <v>64</v>
      </c>
      <c r="J1046">
        <f t="shared" si="48"/>
        <v>8</v>
      </c>
      <c r="K1046" t="s">
        <v>20</v>
      </c>
      <c r="L1046">
        <f t="shared" si="49"/>
        <v>1</v>
      </c>
      <c r="M1046">
        <v>7</v>
      </c>
      <c r="N1046">
        <v>4</v>
      </c>
      <c r="O1046">
        <f t="shared" si="50"/>
        <v>1</v>
      </c>
    </row>
    <row r="1047" spans="1:15" x14ac:dyDescent="0.3">
      <c r="A1047" t="s">
        <v>15</v>
      </c>
      <c r="B1047" t="s">
        <v>234</v>
      </c>
      <c r="C1047" t="s">
        <v>235</v>
      </c>
      <c r="D1047">
        <v>2</v>
      </c>
      <c r="E1047" t="s">
        <v>41</v>
      </c>
      <c r="F1047" t="s">
        <v>42</v>
      </c>
      <c r="G1047">
        <v>2</v>
      </c>
      <c r="H1047">
        <v>31</v>
      </c>
      <c r="I1047">
        <v>33</v>
      </c>
      <c r="J1047">
        <f t="shared" si="48"/>
        <v>-29</v>
      </c>
      <c r="K1047" t="s">
        <v>87</v>
      </c>
      <c r="L1047">
        <f t="shared" si="49"/>
        <v>0</v>
      </c>
      <c r="M1047">
        <v>0</v>
      </c>
      <c r="N1047">
        <v>3</v>
      </c>
      <c r="O1047">
        <f t="shared" si="50"/>
        <v>1</v>
      </c>
    </row>
    <row r="1048" spans="1:15" x14ac:dyDescent="0.3">
      <c r="A1048" t="s">
        <v>15</v>
      </c>
      <c r="B1048" t="s">
        <v>234</v>
      </c>
      <c r="C1048" t="s">
        <v>235</v>
      </c>
      <c r="D1048">
        <v>2</v>
      </c>
      <c r="E1048" t="s">
        <v>23</v>
      </c>
      <c r="F1048" t="s">
        <v>24</v>
      </c>
      <c r="G1048">
        <v>75</v>
      </c>
      <c r="H1048">
        <v>0</v>
      </c>
      <c r="I1048">
        <v>75</v>
      </c>
      <c r="J1048">
        <f t="shared" si="48"/>
        <v>0</v>
      </c>
      <c r="K1048" t="s">
        <v>20</v>
      </c>
      <c r="L1048">
        <f t="shared" si="49"/>
        <v>1</v>
      </c>
      <c r="M1048">
        <v>8</v>
      </c>
      <c r="N1048">
        <v>1</v>
      </c>
      <c r="O1048">
        <f t="shared" si="50"/>
        <v>0</v>
      </c>
    </row>
    <row r="1049" spans="1:15" x14ac:dyDescent="0.3">
      <c r="A1049" t="s">
        <v>15</v>
      </c>
      <c r="B1049" t="s">
        <v>234</v>
      </c>
      <c r="C1049" t="s">
        <v>235</v>
      </c>
      <c r="D1049">
        <v>2</v>
      </c>
      <c r="E1049" t="s">
        <v>45</v>
      </c>
      <c r="F1049" t="s">
        <v>46</v>
      </c>
      <c r="G1049">
        <v>23</v>
      </c>
      <c r="H1049">
        <v>39</v>
      </c>
      <c r="I1049">
        <v>62</v>
      </c>
      <c r="J1049">
        <f t="shared" si="48"/>
        <v>-16</v>
      </c>
      <c r="K1049" t="s">
        <v>20</v>
      </c>
      <c r="L1049">
        <f t="shared" si="49"/>
        <v>1</v>
      </c>
      <c r="M1049">
        <v>7</v>
      </c>
      <c r="N1049">
        <v>1</v>
      </c>
      <c r="O1049">
        <f t="shared" si="50"/>
        <v>1</v>
      </c>
    </row>
    <row r="1050" spans="1:15" x14ac:dyDescent="0.3">
      <c r="A1050" t="s">
        <v>15</v>
      </c>
      <c r="B1050" t="s">
        <v>234</v>
      </c>
      <c r="C1050" t="s">
        <v>235</v>
      </c>
      <c r="D1050">
        <v>2</v>
      </c>
      <c r="E1050" t="s">
        <v>25</v>
      </c>
      <c r="F1050" t="s">
        <v>26</v>
      </c>
      <c r="G1050">
        <v>30</v>
      </c>
      <c r="H1050">
        <v>27</v>
      </c>
      <c r="I1050">
        <v>57</v>
      </c>
      <c r="J1050">
        <f t="shared" si="48"/>
        <v>3</v>
      </c>
      <c r="K1050" t="s">
        <v>20</v>
      </c>
      <c r="L1050">
        <f t="shared" si="49"/>
        <v>1</v>
      </c>
      <c r="M1050">
        <v>6</v>
      </c>
      <c r="N1050">
        <v>1</v>
      </c>
      <c r="O1050">
        <f t="shared" si="50"/>
        <v>1</v>
      </c>
    </row>
    <row r="1051" spans="1:15" x14ac:dyDescent="0.3">
      <c r="A1051" t="s">
        <v>15</v>
      </c>
      <c r="B1051" t="s">
        <v>234</v>
      </c>
      <c r="C1051" t="s">
        <v>235</v>
      </c>
      <c r="D1051">
        <v>2</v>
      </c>
      <c r="E1051" t="s">
        <v>27</v>
      </c>
      <c r="F1051" t="s">
        <v>28</v>
      </c>
      <c r="G1051">
        <v>24</v>
      </c>
      <c r="H1051">
        <v>37</v>
      </c>
      <c r="I1051">
        <v>61</v>
      </c>
      <c r="J1051">
        <f t="shared" si="48"/>
        <v>-13</v>
      </c>
      <c r="K1051" t="s">
        <v>20</v>
      </c>
      <c r="L1051">
        <f t="shared" si="49"/>
        <v>1</v>
      </c>
      <c r="M1051">
        <v>6</v>
      </c>
      <c r="N1051">
        <v>2</v>
      </c>
      <c r="O1051">
        <f t="shared" si="50"/>
        <v>1</v>
      </c>
    </row>
    <row r="1052" spans="1:15" x14ac:dyDescent="0.3">
      <c r="A1052" t="s">
        <v>15</v>
      </c>
      <c r="B1052" t="s">
        <v>234</v>
      </c>
      <c r="C1052" t="s">
        <v>235</v>
      </c>
      <c r="D1052">
        <v>2</v>
      </c>
      <c r="E1052" t="s">
        <v>236</v>
      </c>
      <c r="F1052" t="s">
        <v>237</v>
      </c>
      <c r="G1052">
        <v>86</v>
      </c>
      <c r="H1052">
        <v>0</v>
      </c>
      <c r="I1052">
        <v>86</v>
      </c>
      <c r="J1052">
        <f t="shared" si="48"/>
        <v>0</v>
      </c>
      <c r="K1052" t="s">
        <v>20</v>
      </c>
      <c r="L1052">
        <f t="shared" si="49"/>
        <v>1</v>
      </c>
      <c r="M1052">
        <v>9</v>
      </c>
      <c r="N1052">
        <v>1</v>
      </c>
      <c r="O1052">
        <f t="shared" si="50"/>
        <v>0</v>
      </c>
    </row>
    <row r="1053" spans="1:15" x14ac:dyDescent="0.3">
      <c r="A1053" t="s">
        <v>15</v>
      </c>
      <c r="B1053" t="s">
        <v>234</v>
      </c>
      <c r="C1053" t="s">
        <v>235</v>
      </c>
      <c r="D1053">
        <v>2</v>
      </c>
      <c r="E1053" t="s">
        <v>31</v>
      </c>
      <c r="F1053" t="s">
        <v>32</v>
      </c>
      <c r="G1053">
        <v>92</v>
      </c>
      <c r="H1053">
        <v>0</v>
      </c>
      <c r="I1053">
        <v>92</v>
      </c>
      <c r="J1053">
        <f t="shared" si="48"/>
        <v>0</v>
      </c>
      <c r="K1053" t="s">
        <v>20</v>
      </c>
      <c r="L1053">
        <f t="shared" si="49"/>
        <v>1</v>
      </c>
      <c r="M1053">
        <v>10</v>
      </c>
      <c r="N1053">
        <v>1</v>
      </c>
      <c r="O1053">
        <f t="shared" si="50"/>
        <v>0</v>
      </c>
    </row>
    <row r="1054" spans="1:15" x14ac:dyDescent="0.3">
      <c r="A1054" t="s">
        <v>15</v>
      </c>
      <c r="B1054" t="s">
        <v>234</v>
      </c>
      <c r="C1054" t="s">
        <v>235</v>
      </c>
      <c r="D1054">
        <v>2</v>
      </c>
      <c r="E1054" t="s">
        <v>33</v>
      </c>
      <c r="F1054" t="s">
        <v>34</v>
      </c>
      <c r="G1054">
        <v>33</v>
      </c>
      <c r="H1054">
        <v>24</v>
      </c>
      <c r="I1054">
        <v>57</v>
      </c>
      <c r="J1054">
        <f t="shared" si="48"/>
        <v>9</v>
      </c>
      <c r="K1054" t="s">
        <v>20</v>
      </c>
      <c r="L1054">
        <f t="shared" si="49"/>
        <v>1</v>
      </c>
      <c r="M1054">
        <v>6</v>
      </c>
      <c r="N1054">
        <v>4</v>
      </c>
      <c r="O1054">
        <f t="shared" si="50"/>
        <v>1</v>
      </c>
    </row>
    <row r="1055" spans="1:15" x14ac:dyDescent="0.3">
      <c r="A1055" t="s">
        <v>15</v>
      </c>
      <c r="B1055" t="s">
        <v>234</v>
      </c>
      <c r="C1055" t="s">
        <v>235</v>
      </c>
      <c r="D1055">
        <v>2</v>
      </c>
      <c r="E1055" t="s">
        <v>35</v>
      </c>
      <c r="F1055" t="s">
        <v>36</v>
      </c>
      <c r="G1055">
        <v>16</v>
      </c>
      <c r="H1055">
        <v>42</v>
      </c>
      <c r="I1055">
        <v>58</v>
      </c>
      <c r="J1055">
        <f t="shared" si="48"/>
        <v>-26</v>
      </c>
      <c r="K1055" t="s">
        <v>20</v>
      </c>
      <c r="L1055">
        <f t="shared" si="49"/>
        <v>1</v>
      </c>
      <c r="M1055">
        <v>6</v>
      </c>
      <c r="N1055">
        <v>3</v>
      </c>
      <c r="O1055">
        <f t="shared" si="50"/>
        <v>1</v>
      </c>
    </row>
    <row r="1056" spans="1:15" x14ac:dyDescent="0.3">
      <c r="A1056" t="s">
        <v>15</v>
      </c>
      <c r="B1056" t="s">
        <v>234</v>
      </c>
      <c r="C1056" t="s">
        <v>235</v>
      </c>
      <c r="D1056">
        <v>2</v>
      </c>
      <c r="E1056" t="s">
        <v>57</v>
      </c>
      <c r="F1056" t="s">
        <v>58</v>
      </c>
      <c r="G1056">
        <v>27</v>
      </c>
      <c r="H1056">
        <v>0</v>
      </c>
      <c r="I1056">
        <v>27</v>
      </c>
      <c r="J1056">
        <f t="shared" si="48"/>
        <v>0</v>
      </c>
      <c r="K1056" t="s">
        <v>87</v>
      </c>
      <c r="L1056">
        <f t="shared" si="49"/>
        <v>0</v>
      </c>
      <c r="M1056">
        <v>0</v>
      </c>
      <c r="N1056">
        <v>4</v>
      </c>
      <c r="O1056">
        <f t="shared" si="50"/>
        <v>0</v>
      </c>
    </row>
    <row r="1057" spans="1:15" x14ac:dyDescent="0.3">
      <c r="A1057" t="s">
        <v>15</v>
      </c>
      <c r="B1057" t="s">
        <v>234</v>
      </c>
      <c r="C1057" t="s">
        <v>235</v>
      </c>
      <c r="D1057">
        <v>1</v>
      </c>
      <c r="E1057" t="s">
        <v>39</v>
      </c>
      <c r="F1057" t="s">
        <v>40</v>
      </c>
      <c r="G1057">
        <v>90</v>
      </c>
      <c r="H1057">
        <v>0</v>
      </c>
      <c r="I1057">
        <v>90</v>
      </c>
      <c r="J1057">
        <f t="shared" si="48"/>
        <v>0</v>
      </c>
      <c r="K1057" t="s">
        <v>20</v>
      </c>
      <c r="L1057">
        <f t="shared" si="49"/>
        <v>1</v>
      </c>
      <c r="M1057">
        <v>9</v>
      </c>
      <c r="N1057">
        <v>1</v>
      </c>
      <c r="O1057">
        <f t="shared" si="50"/>
        <v>0</v>
      </c>
    </row>
    <row r="1058" spans="1:15" x14ac:dyDescent="0.3">
      <c r="A1058" t="s">
        <v>15</v>
      </c>
      <c r="B1058" t="s">
        <v>234</v>
      </c>
      <c r="C1058" t="s">
        <v>235</v>
      </c>
      <c r="D1058">
        <v>1</v>
      </c>
      <c r="E1058" t="s">
        <v>41</v>
      </c>
      <c r="F1058" t="s">
        <v>42</v>
      </c>
      <c r="G1058">
        <v>2</v>
      </c>
      <c r="H1058">
        <v>0</v>
      </c>
      <c r="I1058">
        <v>2</v>
      </c>
      <c r="J1058">
        <f t="shared" si="48"/>
        <v>0</v>
      </c>
      <c r="K1058" t="s">
        <v>87</v>
      </c>
      <c r="L1058">
        <f t="shared" si="49"/>
        <v>0</v>
      </c>
      <c r="M1058">
        <v>0</v>
      </c>
      <c r="N1058">
        <v>3</v>
      </c>
      <c r="O1058">
        <f t="shared" si="50"/>
        <v>0</v>
      </c>
    </row>
    <row r="1059" spans="1:15" x14ac:dyDescent="0.3">
      <c r="A1059" t="s">
        <v>15</v>
      </c>
      <c r="B1059" t="s">
        <v>234</v>
      </c>
      <c r="C1059" t="s">
        <v>235</v>
      </c>
      <c r="D1059">
        <v>1</v>
      </c>
      <c r="E1059" t="s">
        <v>43</v>
      </c>
      <c r="F1059" t="s">
        <v>44</v>
      </c>
      <c r="G1059">
        <v>50</v>
      </c>
      <c r="H1059">
        <v>0</v>
      </c>
      <c r="I1059">
        <v>50</v>
      </c>
      <c r="J1059">
        <f t="shared" si="48"/>
        <v>0</v>
      </c>
      <c r="K1059" t="s">
        <v>20</v>
      </c>
      <c r="L1059">
        <f t="shared" si="49"/>
        <v>1</v>
      </c>
      <c r="M1059">
        <v>5</v>
      </c>
      <c r="N1059">
        <v>1</v>
      </c>
      <c r="O1059">
        <f t="shared" si="50"/>
        <v>0</v>
      </c>
    </row>
    <row r="1060" spans="1:15" x14ac:dyDescent="0.3">
      <c r="A1060" t="s">
        <v>15</v>
      </c>
      <c r="B1060" t="s">
        <v>234</v>
      </c>
      <c r="C1060" t="s">
        <v>235</v>
      </c>
      <c r="D1060">
        <v>1</v>
      </c>
      <c r="E1060" t="s">
        <v>45</v>
      </c>
      <c r="F1060" t="s">
        <v>46</v>
      </c>
      <c r="G1060">
        <v>23</v>
      </c>
      <c r="H1060">
        <v>12</v>
      </c>
      <c r="I1060">
        <v>35</v>
      </c>
      <c r="J1060">
        <f t="shared" si="48"/>
        <v>11</v>
      </c>
      <c r="K1060" t="s">
        <v>87</v>
      </c>
      <c r="L1060">
        <f t="shared" si="49"/>
        <v>0</v>
      </c>
      <c r="M1060">
        <v>0</v>
      </c>
      <c r="N1060">
        <v>1</v>
      </c>
      <c r="O1060">
        <f t="shared" si="50"/>
        <v>1</v>
      </c>
    </row>
    <row r="1061" spans="1:15" x14ac:dyDescent="0.3">
      <c r="A1061" t="s">
        <v>15</v>
      </c>
      <c r="B1061" t="s">
        <v>234</v>
      </c>
      <c r="C1061" t="s">
        <v>235</v>
      </c>
      <c r="D1061">
        <v>1</v>
      </c>
      <c r="E1061" t="s">
        <v>123</v>
      </c>
      <c r="F1061" t="s">
        <v>124</v>
      </c>
      <c r="G1061">
        <v>81</v>
      </c>
      <c r="H1061">
        <v>0</v>
      </c>
      <c r="I1061">
        <v>81</v>
      </c>
      <c r="J1061">
        <f t="shared" si="48"/>
        <v>0</v>
      </c>
      <c r="K1061" t="s">
        <v>20</v>
      </c>
      <c r="L1061">
        <f t="shared" si="49"/>
        <v>1</v>
      </c>
      <c r="M1061">
        <v>9</v>
      </c>
      <c r="N1061">
        <v>1</v>
      </c>
      <c r="O1061">
        <f t="shared" si="50"/>
        <v>0</v>
      </c>
    </row>
    <row r="1062" spans="1:15" x14ac:dyDescent="0.3">
      <c r="A1062" t="s">
        <v>15</v>
      </c>
      <c r="B1062" t="s">
        <v>234</v>
      </c>
      <c r="C1062" t="s">
        <v>235</v>
      </c>
      <c r="D1062">
        <v>1</v>
      </c>
      <c r="E1062" t="s">
        <v>49</v>
      </c>
      <c r="F1062" t="s">
        <v>50</v>
      </c>
      <c r="G1062">
        <v>85</v>
      </c>
      <c r="H1062">
        <v>0</v>
      </c>
      <c r="I1062">
        <v>85</v>
      </c>
      <c r="J1062">
        <f t="shared" si="48"/>
        <v>0</v>
      </c>
      <c r="K1062" t="s">
        <v>20</v>
      </c>
      <c r="L1062">
        <f t="shared" si="49"/>
        <v>1</v>
      </c>
      <c r="M1062">
        <v>9</v>
      </c>
      <c r="N1062">
        <v>1</v>
      </c>
      <c r="O1062">
        <f t="shared" si="50"/>
        <v>0</v>
      </c>
    </row>
    <row r="1063" spans="1:15" x14ac:dyDescent="0.3">
      <c r="A1063" t="s">
        <v>15</v>
      </c>
      <c r="B1063" t="s">
        <v>234</v>
      </c>
      <c r="C1063" t="s">
        <v>235</v>
      </c>
      <c r="D1063">
        <v>1</v>
      </c>
      <c r="E1063" t="s">
        <v>51</v>
      </c>
      <c r="F1063" t="s">
        <v>52</v>
      </c>
      <c r="G1063">
        <v>75</v>
      </c>
      <c r="H1063">
        <v>0</v>
      </c>
      <c r="I1063">
        <v>75</v>
      </c>
      <c r="J1063">
        <f t="shared" si="48"/>
        <v>0</v>
      </c>
      <c r="K1063" t="s">
        <v>20</v>
      </c>
      <c r="L1063">
        <f t="shared" si="49"/>
        <v>1</v>
      </c>
      <c r="M1063">
        <v>8</v>
      </c>
      <c r="N1063">
        <v>1</v>
      </c>
      <c r="O1063">
        <f t="shared" si="50"/>
        <v>0</v>
      </c>
    </row>
    <row r="1064" spans="1:15" x14ac:dyDescent="0.3">
      <c r="A1064" t="s">
        <v>15</v>
      </c>
      <c r="B1064" t="s">
        <v>234</v>
      </c>
      <c r="C1064" t="s">
        <v>235</v>
      </c>
      <c r="D1064">
        <v>1</v>
      </c>
      <c r="E1064" t="s">
        <v>53</v>
      </c>
      <c r="F1064" t="s">
        <v>54</v>
      </c>
      <c r="G1064">
        <v>37</v>
      </c>
      <c r="H1064">
        <v>23</v>
      </c>
      <c r="I1064">
        <v>60</v>
      </c>
      <c r="J1064">
        <f t="shared" si="48"/>
        <v>14</v>
      </c>
      <c r="K1064" t="s">
        <v>20</v>
      </c>
      <c r="L1064">
        <f t="shared" si="49"/>
        <v>1</v>
      </c>
      <c r="M1064">
        <v>6</v>
      </c>
      <c r="N1064">
        <v>4</v>
      </c>
      <c r="O1064">
        <f t="shared" si="50"/>
        <v>1</v>
      </c>
    </row>
    <row r="1065" spans="1:15" x14ac:dyDescent="0.3">
      <c r="A1065" t="s">
        <v>15</v>
      </c>
      <c r="B1065" t="s">
        <v>234</v>
      </c>
      <c r="C1065" t="s">
        <v>235</v>
      </c>
      <c r="D1065">
        <v>1</v>
      </c>
      <c r="E1065" t="s">
        <v>55</v>
      </c>
      <c r="F1065" t="s">
        <v>56</v>
      </c>
      <c r="G1065">
        <v>35</v>
      </c>
      <c r="H1065">
        <v>27</v>
      </c>
      <c r="I1065">
        <v>62</v>
      </c>
      <c r="J1065">
        <f t="shared" si="48"/>
        <v>8</v>
      </c>
      <c r="K1065" t="s">
        <v>20</v>
      </c>
      <c r="L1065">
        <f t="shared" si="49"/>
        <v>1</v>
      </c>
      <c r="M1065">
        <v>6</v>
      </c>
      <c r="N1065">
        <v>3</v>
      </c>
      <c r="O1065">
        <f t="shared" si="50"/>
        <v>1</v>
      </c>
    </row>
    <row r="1066" spans="1:15" x14ac:dyDescent="0.3">
      <c r="A1066" t="s">
        <v>15</v>
      </c>
      <c r="B1066" t="s">
        <v>234</v>
      </c>
      <c r="C1066" t="s">
        <v>235</v>
      </c>
      <c r="D1066">
        <v>1</v>
      </c>
      <c r="E1066" t="s">
        <v>57</v>
      </c>
      <c r="F1066" t="s">
        <v>58</v>
      </c>
      <c r="G1066">
        <v>27</v>
      </c>
      <c r="H1066">
        <v>7</v>
      </c>
      <c r="I1066">
        <v>34</v>
      </c>
      <c r="J1066">
        <f t="shared" si="48"/>
        <v>20</v>
      </c>
      <c r="K1066" t="s">
        <v>87</v>
      </c>
      <c r="L1066">
        <f t="shared" si="49"/>
        <v>0</v>
      </c>
      <c r="M1066">
        <v>0</v>
      </c>
      <c r="N1066">
        <v>4</v>
      </c>
      <c r="O1066">
        <f t="shared" si="50"/>
        <v>1</v>
      </c>
    </row>
    <row r="1067" spans="1:15" x14ac:dyDescent="0.3">
      <c r="A1067" t="s">
        <v>15</v>
      </c>
      <c r="B1067" t="s">
        <v>238</v>
      </c>
      <c r="C1067" t="s">
        <v>239</v>
      </c>
      <c r="D1067">
        <v>2</v>
      </c>
      <c r="E1067" t="s">
        <v>21</v>
      </c>
      <c r="F1067" t="s">
        <v>22</v>
      </c>
      <c r="G1067">
        <v>36</v>
      </c>
      <c r="H1067">
        <v>7</v>
      </c>
      <c r="I1067">
        <v>43</v>
      </c>
      <c r="J1067">
        <f t="shared" si="48"/>
        <v>29</v>
      </c>
      <c r="K1067" t="s">
        <v>87</v>
      </c>
      <c r="L1067">
        <f t="shared" si="49"/>
        <v>0</v>
      </c>
      <c r="M1067">
        <v>0</v>
      </c>
      <c r="N1067">
        <v>4</v>
      </c>
      <c r="O1067">
        <f t="shared" si="50"/>
        <v>1</v>
      </c>
    </row>
    <row r="1068" spans="1:15" x14ac:dyDescent="0.3">
      <c r="A1068" t="s">
        <v>15</v>
      </c>
      <c r="B1068" t="s">
        <v>238</v>
      </c>
      <c r="C1068" t="s">
        <v>239</v>
      </c>
      <c r="D1068">
        <v>2</v>
      </c>
      <c r="E1068" t="s">
        <v>18</v>
      </c>
      <c r="F1068" t="s">
        <v>19</v>
      </c>
      <c r="G1068">
        <v>42</v>
      </c>
      <c r="H1068">
        <v>32</v>
      </c>
      <c r="I1068">
        <v>74</v>
      </c>
      <c r="J1068">
        <f t="shared" si="48"/>
        <v>10</v>
      </c>
      <c r="K1068" t="s">
        <v>20</v>
      </c>
      <c r="L1068">
        <f t="shared" si="49"/>
        <v>1</v>
      </c>
      <c r="M1068">
        <v>8</v>
      </c>
      <c r="N1068">
        <v>4</v>
      </c>
      <c r="O1068">
        <f t="shared" si="50"/>
        <v>1</v>
      </c>
    </row>
    <row r="1069" spans="1:15" x14ac:dyDescent="0.3">
      <c r="A1069" t="s">
        <v>15</v>
      </c>
      <c r="B1069" t="s">
        <v>238</v>
      </c>
      <c r="C1069" t="s">
        <v>239</v>
      </c>
      <c r="D1069">
        <v>2</v>
      </c>
      <c r="E1069" t="s">
        <v>23</v>
      </c>
      <c r="F1069" t="s">
        <v>24</v>
      </c>
      <c r="G1069">
        <v>79</v>
      </c>
      <c r="H1069">
        <v>0</v>
      </c>
      <c r="I1069">
        <v>79</v>
      </c>
      <c r="J1069">
        <f t="shared" si="48"/>
        <v>0</v>
      </c>
      <c r="K1069" t="s">
        <v>20</v>
      </c>
      <c r="L1069">
        <f t="shared" si="49"/>
        <v>1</v>
      </c>
      <c r="M1069">
        <v>8</v>
      </c>
      <c r="N1069">
        <v>1</v>
      </c>
      <c r="O1069">
        <f t="shared" si="50"/>
        <v>0</v>
      </c>
    </row>
    <row r="1070" spans="1:15" x14ac:dyDescent="0.3">
      <c r="A1070" t="s">
        <v>15</v>
      </c>
      <c r="B1070" t="s">
        <v>238</v>
      </c>
      <c r="C1070" t="s">
        <v>239</v>
      </c>
      <c r="D1070">
        <v>2</v>
      </c>
      <c r="E1070" t="s">
        <v>25</v>
      </c>
      <c r="F1070" t="s">
        <v>26</v>
      </c>
      <c r="G1070">
        <v>37</v>
      </c>
      <c r="H1070">
        <v>28</v>
      </c>
      <c r="I1070">
        <v>65</v>
      </c>
      <c r="J1070">
        <f t="shared" si="48"/>
        <v>9</v>
      </c>
      <c r="K1070" t="s">
        <v>20</v>
      </c>
      <c r="L1070">
        <f t="shared" si="49"/>
        <v>1</v>
      </c>
      <c r="M1070">
        <v>7</v>
      </c>
      <c r="N1070">
        <v>1</v>
      </c>
      <c r="O1070">
        <f t="shared" si="50"/>
        <v>1</v>
      </c>
    </row>
    <row r="1071" spans="1:15" x14ac:dyDescent="0.3">
      <c r="A1071" t="s">
        <v>15</v>
      </c>
      <c r="B1071" t="s">
        <v>238</v>
      </c>
      <c r="C1071" t="s">
        <v>239</v>
      </c>
      <c r="D1071">
        <v>2</v>
      </c>
      <c r="E1071" t="s">
        <v>61</v>
      </c>
      <c r="F1071" t="s">
        <v>62</v>
      </c>
      <c r="G1071">
        <v>33</v>
      </c>
      <c r="H1071">
        <v>34</v>
      </c>
      <c r="I1071">
        <v>67</v>
      </c>
      <c r="J1071">
        <f t="shared" si="48"/>
        <v>-1</v>
      </c>
      <c r="K1071" t="s">
        <v>20</v>
      </c>
      <c r="L1071">
        <f t="shared" si="49"/>
        <v>1</v>
      </c>
      <c r="M1071">
        <v>7</v>
      </c>
      <c r="N1071">
        <v>2</v>
      </c>
      <c r="O1071">
        <f t="shared" si="50"/>
        <v>1</v>
      </c>
    </row>
    <row r="1072" spans="1:15" x14ac:dyDescent="0.3">
      <c r="A1072" t="s">
        <v>15</v>
      </c>
      <c r="B1072" t="s">
        <v>238</v>
      </c>
      <c r="C1072" t="s">
        <v>239</v>
      </c>
      <c r="D1072">
        <v>2</v>
      </c>
      <c r="E1072" t="s">
        <v>133</v>
      </c>
      <c r="F1072" t="s">
        <v>134</v>
      </c>
      <c r="G1072">
        <v>86</v>
      </c>
      <c r="H1072">
        <v>0</v>
      </c>
      <c r="I1072">
        <v>86</v>
      </c>
      <c r="J1072">
        <f t="shared" si="48"/>
        <v>0</v>
      </c>
      <c r="K1072" t="s">
        <v>20</v>
      </c>
      <c r="L1072">
        <f t="shared" si="49"/>
        <v>1</v>
      </c>
      <c r="M1072">
        <v>9</v>
      </c>
      <c r="N1072">
        <v>1</v>
      </c>
      <c r="O1072">
        <f t="shared" si="50"/>
        <v>0</v>
      </c>
    </row>
    <row r="1073" spans="1:15" x14ac:dyDescent="0.3">
      <c r="A1073" t="s">
        <v>15</v>
      </c>
      <c r="B1073" t="s">
        <v>238</v>
      </c>
      <c r="C1073" t="s">
        <v>239</v>
      </c>
      <c r="D1073">
        <v>2</v>
      </c>
      <c r="E1073" t="s">
        <v>31</v>
      </c>
      <c r="F1073" t="s">
        <v>32</v>
      </c>
      <c r="G1073">
        <v>92</v>
      </c>
      <c r="H1073">
        <v>0</v>
      </c>
      <c r="I1073">
        <v>92</v>
      </c>
      <c r="J1073">
        <f t="shared" si="48"/>
        <v>0</v>
      </c>
      <c r="K1073" t="s">
        <v>20</v>
      </c>
      <c r="L1073">
        <f t="shared" si="49"/>
        <v>1</v>
      </c>
      <c r="M1073">
        <v>10</v>
      </c>
      <c r="N1073">
        <v>1</v>
      </c>
      <c r="O1073">
        <f t="shared" si="50"/>
        <v>0</v>
      </c>
    </row>
    <row r="1074" spans="1:15" x14ac:dyDescent="0.3">
      <c r="A1074" t="s">
        <v>15</v>
      </c>
      <c r="B1074" t="s">
        <v>238</v>
      </c>
      <c r="C1074" t="s">
        <v>239</v>
      </c>
      <c r="D1074">
        <v>2</v>
      </c>
      <c r="E1074" t="s">
        <v>33</v>
      </c>
      <c r="F1074" t="s">
        <v>34</v>
      </c>
      <c r="G1074">
        <v>38</v>
      </c>
      <c r="H1074">
        <v>23</v>
      </c>
      <c r="I1074">
        <v>61</v>
      </c>
      <c r="J1074">
        <f t="shared" si="48"/>
        <v>15</v>
      </c>
      <c r="K1074" t="s">
        <v>20</v>
      </c>
      <c r="L1074">
        <f t="shared" si="49"/>
        <v>1</v>
      </c>
      <c r="M1074">
        <v>7</v>
      </c>
      <c r="N1074">
        <v>4</v>
      </c>
      <c r="O1074">
        <f t="shared" si="50"/>
        <v>1</v>
      </c>
    </row>
    <row r="1075" spans="1:15" x14ac:dyDescent="0.3">
      <c r="A1075" t="s">
        <v>15</v>
      </c>
      <c r="B1075" t="s">
        <v>238</v>
      </c>
      <c r="C1075" t="s">
        <v>239</v>
      </c>
      <c r="D1075">
        <v>2</v>
      </c>
      <c r="E1075" t="s">
        <v>35</v>
      </c>
      <c r="F1075" t="s">
        <v>36</v>
      </c>
      <c r="G1075">
        <v>30</v>
      </c>
      <c r="H1075">
        <v>35</v>
      </c>
      <c r="I1075">
        <v>65</v>
      </c>
      <c r="J1075">
        <f t="shared" si="48"/>
        <v>-5</v>
      </c>
      <c r="K1075" t="s">
        <v>20</v>
      </c>
      <c r="L1075">
        <f t="shared" si="49"/>
        <v>1</v>
      </c>
      <c r="M1075">
        <v>7</v>
      </c>
      <c r="N1075">
        <v>3</v>
      </c>
      <c r="O1075">
        <f t="shared" si="50"/>
        <v>1</v>
      </c>
    </row>
    <row r="1076" spans="1:15" x14ac:dyDescent="0.3">
      <c r="A1076" t="s">
        <v>15</v>
      </c>
      <c r="B1076" t="s">
        <v>238</v>
      </c>
      <c r="C1076" t="s">
        <v>239</v>
      </c>
      <c r="D1076">
        <v>2</v>
      </c>
      <c r="E1076" t="s">
        <v>37</v>
      </c>
      <c r="F1076" t="s">
        <v>38</v>
      </c>
      <c r="G1076">
        <v>27</v>
      </c>
      <c r="H1076">
        <v>31</v>
      </c>
      <c r="I1076">
        <v>58</v>
      </c>
      <c r="J1076">
        <f t="shared" si="48"/>
        <v>-4</v>
      </c>
      <c r="K1076" t="s">
        <v>20</v>
      </c>
      <c r="L1076">
        <f t="shared" si="49"/>
        <v>1</v>
      </c>
      <c r="M1076">
        <v>6</v>
      </c>
      <c r="N1076">
        <v>3</v>
      </c>
      <c r="O1076">
        <f t="shared" si="50"/>
        <v>1</v>
      </c>
    </row>
    <row r="1077" spans="1:15" x14ac:dyDescent="0.3">
      <c r="A1077" t="s">
        <v>15</v>
      </c>
      <c r="B1077" t="s">
        <v>238</v>
      </c>
      <c r="C1077" t="s">
        <v>239</v>
      </c>
      <c r="D1077">
        <v>1</v>
      </c>
      <c r="E1077" t="s">
        <v>39</v>
      </c>
      <c r="F1077" t="s">
        <v>40</v>
      </c>
      <c r="G1077">
        <v>91</v>
      </c>
      <c r="H1077">
        <v>0</v>
      </c>
      <c r="I1077">
        <v>91</v>
      </c>
      <c r="J1077">
        <f t="shared" si="48"/>
        <v>0</v>
      </c>
      <c r="K1077" t="s">
        <v>20</v>
      </c>
      <c r="L1077">
        <f t="shared" si="49"/>
        <v>1</v>
      </c>
      <c r="M1077">
        <v>10</v>
      </c>
      <c r="N1077">
        <v>1</v>
      </c>
      <c r="O1077">
        <f t="shared" si="50"/>
        <v>0</v>
      </c>
    </row>
    <row r="1078" spans="1:15" x14ac:dyDescent="0.3">
      <c r="A1078" t="s">
        <v>15</v>
      </c>
      <c r="B1078" t="s">
        <v>238</v>
      </c>
      <c r="C1078" t="s">
        <v>239</v>
      </c>
      <c r="D1078">
        <v>1</v>
      </c>
      <c r="E1078" t="s">
        <v>41</v>
      </c>
      <c r="F1078" t="s">
        <v>42</v>
      </c>
      <c r="G1078">
        <v>25</v>
      </c>
      <c r="H1078">
        <v>30</v>
      </c>
      <c r="I1078">
        <v>55</v>
      </c>
      <c r="J1078">
        <f t="shared" si="48"/>
        <v>-5</v>
      </c>
      <c r="K1078" t="s">
        <v>20</v>
      </c>
      <c r="L1078">
        <f t="shared" si="49"/>
        <v>1</v>
      </c>
      <c r="M1078">
        <v>7</v>
      </c>
      <c r="N1078">
        <v>3</v>
      </c>
      <c r="O1078">
        <f t="shared" si="50"/>
        <v>1</v>
      </c>
    </row>
    <row r="1079" spans="1:15" x14ac:dyDescent="0.3">
      <c r="A1079" t="s">
        <v>15</v>
      </c>
      <c r="B1079" t="s">
        <v>238</v>
      </c>
      <c r="C1079" t="s">
        <v>239</v>
      </c>
      <c r="D1079">
        <v>1</v>
      </c>
      <c r="E1079" t="s">
        <v>43</v>
      </c>
      <c r="F1079" t="s">
        <v>44</v>
      </c>
      <c r="G1079">
        <v>62</v>
      </c>
      <c r="H1079">
        <v>0</v>
      </c>
      <c r="I1079">
        <v>62</v>
      </c>
      <c r="J1079">
        <f t="shared" si="48"/>
        <v>0</v>
      </c>
      <c r="K1079" t="s">
        <v>20</v>
      </c>
      <c r="L1079">
        <f t="shared" si="49"/>
        <v>1</v>
      </c>
      <c r="M1079">
        <v>7</v>
      </c>
      <c r="N1079">
        <v>1</v>
      </c>
      <c r="O1079">
        <f t="shared" si="50"/>
        <v>0</v>
      </c>
    </row>
    <row r="1080" spans="1:15" x14ac:dyDescent="0.3">
      <c r="A1080" t="s">
        <v>15</v>
      </c>
      <c r="B1080" t="s">
        <v>238</v>
      </c>
      <c r="C1080" t="s">
        <v>239</v>
      </c>
      <c r="D1080">
        <v>1</v>
      </c>
      <c r="E1080" t="s">
        <v>45</v>
      </c>
      <c r="F1080" t="s">
        <v>46</v>
      </c>
      <c r="G1080">
        <v>28</v>
      </c>
      <c r="H1080">
        <v>42</v>
      </c>
      <c r="I1080">
        <v>70</v>
      </c>
      <c r="J1080">
        <f t="shared" si="48"/>
        <v>-14</v>
      </c>
      <c r="K1080" t="s">
        <v>20</v>
      </c>
      <c r="L1080">
        <f t="shared" si="49"/>
        <v>1</v>
      </c>
      <c r="M1080">
        <v>7</v>
      </c>
      <c r="N1080">
        <v>1</v>
      </c>
      <c r="O1080">
        <f t="shared" si="50"/>
        <v>1</v>
      </c>
    </row>
    <row r="1081" spans="1:15" x14ac:dyDescent="0.3">
      <c r="A1081" t="s">
        <v>15</v>
      </c>
      <c r="B1081" t="s">
        <v>238</v>
      </c>
      <c r="C1081" t="s">
        <v>239</v>
      </c>
      <c r="D1081">
        <v>1</v>
      </c>
      <c r="E1081" t="s">
        <v>65</v>
      </c>
      <c r="F1081" t="s">
        <v>66</v>
      </c>
      <c r="G1081">
        <v>88</v>
      </c>
      <c r="H1081">
        <v>0</v>
      </c>
      <c r="I1081">
        <v>88</v>
      </c>
      <c r="J1081">
        <f t="shared" si="48"/>
        <v>0</v>
      </c>
      <c r="K1081" t="s">
        <v>20</v>
      </c>
      <c r="L1081">
        <f t="shared" si="49"/>
        <v>1</v>
      </c>
      <c r="M1081">
        <v>9</v>
      </c>
      <c r="N1081">
        <v>1</v>
      </c>
      <c r="O1081">
        <f t="shared" si="50"/>
        <v>0</v>
      </c>
    </row>
    <row r="1082" spans="1:15" x14ac:dyDescent="0.3">
      <c r="A1082" t="s">
        <v>15</v>
      </c>
      <c r="B1082" t="s">
        <v>238</v>
      </c>
      <c r="C1082" t="s">
        <v>239</v>
      </c>
      <c r="D1082">
        <v>1</v>
      </c>
      <c r="E1082" t="s">
        <v>49</v>
      </c>
      <c r="F1082" t="s">
        <v>50</v>
      </c>
      <c r="G1082">
        <v>90</v>
      </c>
      <c r="H1082">
        <v>0</v>
      </c>
      <c r="I1082">
        <v>90</v>
      </c>
      <c r="J1082">
        <f t="shared" si="48"/>
        <v>0</v>
      </c>
      <c r="K1082" t="s">
        <v>20</v>
      </c>
      <c r="L1082">
        <f t="shared" si="49"/>
        <v>1</v>
      </c>
      <c r="M1082">
        <v>9</v>
      </c>
      <c r="N1082">
        <v>1</v>
      </c>
      <c r="O1082">
        <f t="shared" si="50"/>
        <v>0</v>
      </c>
    </row>
    <row r="1083" spans="1:15" x14ac:dyDescent="0.3">
      <c r="A1083" t="s">
        <v>15</v>
      </c>
      <c r="B1083" t="s">
        <v>238</v>
      </c>
      <c r="C1083" t="s">
        <v>239</v>
      </c>
      <c r="D1083">
        <v>1</v>
      </c>
      <c r="E1083" t="s">
        <v>51</v>
      </c>
      <c r="F1083" t="s">
        <v>52</v>
      </c>
      <c r="G1083">
        <v>90</v>
      </c>
      <c r="H1083">
        <v>0</v>
      </c>
      <c r="I1083">
        <v>90</v>
      </c>
      <c r="J1083">
        <f t="shared" si="48"/>
        <v>0</v>
      </c>
      <c r="K1083" t="s">
        <v>20</v>
      </c>
      <c r="L1083">
        <f t="shared" si="49"/>
        <v>1</v>
      </c>
      <c r="M1083">
        <v>9</v>
      </c>
      <c r="N1083">
        <v>1</v>
      </c>
      <c r="O1083">
        <f t="shared" si="50"/>
        <v>0</v>
      </c>
    </row>
    <row r="1084" spans="1:15" x14ac:dyDescent="0.3">
      <c r="A1084" t="s">
        <v>15</v>
      </c>
      <c r="B1084" t="s">
        <v>238</v>
      </c>
      <c r="C1084" t="s">
        <v>239</v>
      </c>
      <c r="D1084">
        <v>1</v>
      </c>
      <c r="E1084" t="s">
        <v>53</v>
      </c>
      <c r="F1084" t="s">
        <v>54</v>
      </c>
      <c r="G1084">
        <v>37</v>
      </c>
      <c r="H1084">
        <v>30</v>
      </c>
      <c r="I1084">
        <v>67</v>
      </c>
      <c r="J1084">
        <f t="shared" si="48"/>
        <v>7</v>
      </c>
      <c r="K1084" t="s">
        <v>20</v>
      </c>
      <c r="L1084">
        <f t="shared" si="49"/>
        <v>1</v>
      </c>
      <c r="M1084">
        <v>7</v>
      </c>
      <c r="N1084">
        <v>4</v>
      </c>
      <c r="O1084">
        <f t="shared" si="50"/>
        <v>1</v>
      </c>
    </row>
    <row r="1085" spans="1:15" x14ac:dyDescent="0.3">
      <c r="A1085" t="s">
        <v>15</v>
      </c>
      <c r="B1085" t="s">
        <v>238</v>
      </c>
      <c r="C1085" t="s">
        <v>239</v>
      </c>
      <c r="D1085">
        <v>1</v>
      </c>
      <c r="E1085" t="s">
        <v>55</v>
      </c>
      <c r="F1085" t="s">
        <v>56</v>
      </c>
      <c r="G1085">
        <v>37</v>
      </c>
      <c r="H1085">
        <v>40</v>
      </c>
      <c r="I1085">
        <v>77</v>
      </c>
      <c r="J1085">
        <f t="shared" si="48"/>
        <v>-3</v>
      </c>
      <c r="K1085" t="s">
        <v>20</v>
      </c>
      <c r="L1085">
        <f t="shared" si="49"/>
        <v>1</v>
      </c>
      <c r="M1085">
        <v>8</v>
      </c>
      <c r="N1085">
        <v>3</v>
      </c>
      <c r="O1085">
        <f t="shared" si="50"/>
        <v>1</v>
      </c>
    </row>
    <row r="1086" spans="1:15" x14ac:dyDescent="0.3">
      <c r="A1086" t="s">
        <v>15</v>
      </c>
      <c r="B1086" t="s">
        <v>238</v>
      </c>
      <c r="C1086" t="s">
        <v>239</v>
      </c>
      <c r="D1086">
        <v>1</v>
      </c>
      <c r="E1086" t="s">
        <v>57</v>
      </c>
      <c r="F1086" t="s">
        <v>58</v>
      </c>
      <c r="G1086">
        <v>34</v>
      </c>
      <c r="H1086">
        <v>34</v>
      </c>
      <c r="I1086">
        <v>68</v>
      </c>
      <c r="J1086">
        <f t="shared" si="48"/>
        <v>0</v>
      </c>
      <c r="K1086" t="s">
        <v>20</v>
      </c>
      <c r="L1086">
        <f t="shared" si="49"/>
        <v>1</v>
      </c>
      <c r="M1086">
        <v>8</v>
      </c>
      <c r="N1086">
        <v>4</v>
      </c>
      <c r="O1086">
        <f t="shared" si="50"/>
        <v>1</v>
      </c>
    </row>
    <row r="1087" spans="1:15" x14ac:dyDescent="0.3">
      <c r="A1087" t="s">
        <v>15</v>
      </c>
      <c r="B1087" t="s">
        <v>240</v>
      </c>
      <c r="C1087" t="s">
        <v>241</v>
      </c>
      <c r="D1087">
        <v>2</v>
      </c>
      <c r="E1087" t="s">
        <v>33</v>
      </c>
      <c r="F1087" t="s">
        <v>34</v>
      </c>
      <c r="G1087">
        <v>33</v>
      </c>
      <c r="H1087">
        <v>12</v>
      </c>
      <c r="I1087">
        <v>45</v>
      </c>
      <c r="J1087">
        <f t="shared" si="48"/>
        <v>21</v>
      </c>
      <c r="K1087" t="s">
        <v>87</v>
      </c>
      <c r="L1087">
        <f t="shared" si="49"/>
        <v>0</v>
      </c>
      <c r="M1087">
        <v>0</v>
      </c>
      <c r="N1087">
        <v>4</v>
      </c>
      <c r="O1087">
        <f t="shared" si="50"/>
        <v>1</v>
      </c>
    </row>
    <row r="1088" spans="1:15" x14ac:dyDescent="0.3">
      <c r="A1088" t="s">
        <v>15</v>
      </c>
      <c r="B1088" t="s">
        <v>240</v>
      </c>
      <c r="C1088" t="s">
        <v>241</v>
      </c>
      <c r="D1088">
        <v>2</v>
      </c>
      <c r="E1088" t="s">
        <v>35</v>
      </c>
      <c r="F1088" t="s">
        <v>36</v>
      </c>
      <c r="G1088">
        <v>13</v>
      </c>
      <c r="H1088">
        <v>30</v>
      </c>
      <c r="I1088">
        <v>43</v>
      </c>
      <c r="J1088">
        <f t="shared" si="48"/>
        <v>-17</v>
      </c>
      <c r="K1088" t="s">
        <v>87</v>
      </c>
      <c r="L1088">
        <f t="shared" si="49"/>
        <v>0</v>
      </c>
      <c r="M1088">
        <v>0</v>
      </c>
      <c r="N1088">
        <v>3</v>
      </c>
      <c r="O1088">
        <f t="shared" si="50"/>
        <v>1</v>
      </c>
    </row>
    <row r="1089" spans="1:15" x14ac:dyDescent="0.3">
      <c r="A1089" t="s">
        <v>15</v>
      </c>
      <c r="B1089" t="s">
        <v>240</v>
      </c>
      <c r="C1089" t="s">
        <v>241</v>
      </c>
      <c r="D1089">
        <v>2</v>
      </c>
      <c r="E1089" t="s">
        <v>18</v>
      </c>
      <c r="F1089" t="s">
        <v>19</v>
      </c>
      <c r="G1089">
        <v>38</v>
      </c>
      <c r="H1089">
        <v>24</v>
      </c>
      <c r="I1089">
        <v>62</v>
      </c>
      <c r="J1089">
        <f t="shared" si="48"/>
        <v>14</v>
      </c>
      <c r="K1089" t="s">
        <v>20</v>
      </c>
      <c r="L1089">
        <f t="shared" si="49"/>
        <v>1</v>
      </c>
      <c r="M1089">
        <v>7</v>
      </c>
      <c r="N1089">
        <v>4</v>
      </c>
      <c r="O1089">
        <f t="shared" si="50"/>
        <v>1</v>
      </c>
    </row>
    <row r="1090" spans="1:15" x14ac:dyDescent="0.3">
      <c r="A1090" t="s">
        <v>15</v>
      </c>
      <c r="B1090" t="s">
        <v>240</v>
      </c>
      <c r="C1090" t="s">
        <v>241</v>
      </c>
      <c r="D1090">
        <v>2</v>
      </c>
      <c r="E1090" t="s">
        <v>21</v>
      </c>
      <c r="F1090" t="s">
        <v>22</v>
      </c>
      <c r="G1090">
        <v>37</v>
      </c>
      <c r="H1090">
        <v>24</v>
      </c>
      <c r="I1090">
        <v>61</v>
      </c>
      <c r="J1090">
        <f t="shared" ref="J1090:J1153" si="51">IF(H1090=0,0,G1090-H1090)</f>
        <v>13</v>
      </c>
      <c r="K1090" t="s">
        <v>20</v>
      </c>
      <c r="L1090">
        <f t="shared" ref="L1090:L1153" si="52">IF(K1090="Pass",1,0)</f>
        <v>1</v>
      </c>
      <c r="M1090">
        <v>6</v>
      </c>
      <c r="N1090">
        <v>4</v>
      </c>
      <c r="O1090">
        <f t="shared" ref="O1090:O1153" si="53">IF(H1090=0,0,1)</f>
        <v>1</v>
      </c>
    </row>
    <row r="1091" spans="1:15" x14ac:dyDescent="0.3">
      <c r="A1091" t="s">
        <v>15</v>
      </c>
      <c r="B1091" t="s">
        <v>240</v>
      </c>
      <c r="C1091" t="s">
        <v>241</v>
      </c>
      <c r="D1091">
        <v>2</v>
      </c>
      <c r="E1091" t="s">
        <v>41</v>
      </c>
      <c r="F1091" t="s">
        <v>42</v>
      </c>
      <c r="G1091">
        <v>22</v>
      </c>
      <c r="H1091">
        <v>19</v>
      </c>
      <c r="I1091">
        <v>41</v>
      </c>
      <c r="J1091">
        <f t="shared" si="51"/>
        <v>3</v>
      </c>
      <c r="K1091" t="s">
        <v>87</v>
      </c>
      <c r="L1091">
        <f t="shared" si="52"/>
        <v>0</v>
      </c>
      <c r="M1091">
        <v>0</v>
      </c>
      <c r="N1091">
        <v>3</v>
      </c>
      <c r="O1091">
        <f t="shared" si="53"/>
        <v>1</v>
      </c>
    </row>
    <row r="1092" spans="1:15" x14ac:dyDescent="0.3">
      <c r="A1092" t="s">
        <v>15</v>
      </c>
      <c r="B1092" t="s">
        <v>240</v>
      </c>
      <c r="C1092" t="s">
        <v>241</v>
      </c>
      <c r="D1092">
        <v>2</v>
      </c>
      <c r="E1092" t="s">
        <v>23</v>
      </c>
      <c r="F1092" t="s">
        <v>24</v>
      </c>
      <c r="G1092">
        <v>82</v>
      </c>
      <c r="H1092">
        <v>0</v>
      </c>
      <c r="I1092">
        <v>82</v>
      </c>
      <c r="J1092">
        <f t="shared" si="51"/>
        <v>0</v>
      </c>
      <c r="K1092" t="s">
        <v>20</v>
      </c>
      <c r="L1092">
        <f t="shared" si="52"/>
        <v>1</v>
      </c>
      <c r="M1092">
        <v>9</v>
      </c>
      <c r="N1092">
        <v>1</v>
      </c>
      <c r="O1092">
        <f t="shared" si="53"/>
        <v>0</v>
      </c>
    </row>
    <row r="1093" spans="1:15" x14ac:dyDescent="0.3">
      <c r="A1093" t="s">
        <v>15</v>
      </c>
      <c r="B1093" t="s">
        <v>240</v>
      </c>
      <c r="C1093" t="s">
        <v>241</v>
      </c>
      <c r="D1093">
        <v>2</v>
      </c>
      <c r="E1093" t="s">
        <v>25</v>
      </c>
      <c r="F1093" t="s">
        <v>26</v>
      </c>
      <c r="G1093">
        <v>35</v>
      </c>
      <c r="H1093">
        <v>27</v>
      </c>
      <c r="I1093">
        <v>62</v>
      </c>
      <c r="J1093">
        <f t="shared" si="51"/>
        <v>8</v>
      </c>
      <c r="K1093" t="s">
        <v>20</v>
      </c>
      <c r="L1093">
        <f t="shared" si="52"/>
        <v>1</v>
      </c>
      <c r="M1093">
        <v>7</v>
      </c>
      <c r="N1093">
        <v>1</v>
      </c>
      <c r="O1093">
        <f t="shared" si="53"/>
        <v>1</v>
      </c>
    </row>
    <row r="1094" spans="1:15" x14ac:dyDescent="0.3">
      <c r="A1094" t="s">
        <v>15</v>
      </c>
      <c r="B1094" t="s">
        <v>240</v>
      </c>
      <c r="C1094" t="s">
        <v>241</v>
      </c>
      <c r="D1094">
        <v>2</v>
      </c>
      <c r="E1094" t="s">
        <v>61</v>
      </c>
      <c r="F1094" t="s">
        <v>62</v>
      </c>
      <c r="G1094">
        <v>26</v>
      </c>
      <c r="H1094">
        <v>38</v>
      </c>
      <c r="I1094">
        <v>64</v>
      </c>
      <c r="J1094">
        <f t="shared" si="51"/>
        <v>-12</v>
      </c>
      <c r="K1094" t="s">
        <v>20</v>
      </c>
      <c r="L1094">
        <f t="shared" si="52"/>
        <v>1</v>
      </c>
      <c r="M1094">
        <v>7</v>
      </c>
      <c r="N1094">
        <v>2</v>
      </c>
      <c r="O1094">
        <f t="shared" si="53"/>
        <v>1</v>
      </c>
    </row>
    <row r="1095" spans="1:15" x14ac:dyDescent="0.3">
      <c r="A1095" t="s">
        <v>15</v>
      </c>
      <c r="B1095" t="s">
        <v>240</v>
      </c>
      <c r="C1095" t="s">
        <v>241</v>
      </c>
      <c r="D1095">
        <v>2</v>
      </c>
      <c r="E1095" t="s">
        <v>217</v>
      </c>
      <c r="F1095" t="s">
        <v>218</v>
      </c>
      <c r="G1095">
        <v>84</v>
      </c>
      <c r="H1095">
        <v>0</v>
      </c>
      <c r="I1095">
        <v>84</v>
      </c>
      <c r="J1095">
        <f t="shared" si="51"/>
        <v>0</v>
      </c>
      <c r="K1095" t="s">
        <v>20</v>
      </c>
      <c r="L1095">
        <f t="shared" si="52"/>
        <v>1</v>
      </c>
      <c r="M1095">
        <v>9</v>
      </c>
      <c r="N1095">
        <v>1</v>
      </c>
      <c r="O1095">
        <f t="shared" si="53"/>
        <v>0</v>
      </c>
    </row>
    <row r="1096" spans="1:15" x14ac:dyDescent="0.3">
      <c r="A1096" t="s">
        <v>15</v>
      </c>
      <c r="B1096" t="s">
        <v>240</v>
      </c>
      <c r="C1096" t="s">
        <v>241</v>
      </c>
      <c r="D1096">
        <v>2</v>
      </c>
      <c r="E1096" t="s">
        <v>31</v>
      </c>
      <c r="F1096" t="s">
        <v>32</v>
      </c>
      <c r="G1096">
        <v>92</v>
      </c>
      <c r="H1096">
        <v>0</v>
      </c>
      <c r="I1096">
        <v>92</v>
      </c>
      <c r="J1096">
        <f t="shared" si="51"/>
        <v>0</v>
      </c>
      <c r="K1096" t="s">
        <v>20</v>
      </c>
      <c r="L1096">
        <f t="shared" si="52"/>
        <v>1</v>
      </c>
      <c r="M1096">
        <v>10</v>
      </c>
      <c r="N1096">
        <v>1</v>
      </c>
      <c r="O1096">
        <f t="shared" si="53"/>
        <v>0</v>
      </c>
    </row>
    <row r="1097" spans="1:15" x14ac:dyDescent="0.3">
      <c r="A1097" t="s">
        <v>15</v>
      </c>
      <c r="B1097" t="s">
        <v>240</v>
      </c>
      <c r="C1097" t="s">
        <v>241</v>
      </c>
      <c r="D1097">
        <v>2</v>
      </c>
      <c r="E1097" t="s">
        <v>37</v>
      </c>
      <c r="F1097" t="s">
        <v>38</v>
      </c>
      <c r="G1097">
        <v>24</v>
      </c>
      <c r="H1097">
        <v>32</v>
      </c>
      <c r="I1097">
        <v>56</v>
      </c>
      <c r="J1097">
        <f t="shared" si="51"/>
        <v>-8</v>
      </c>
      <c r="K1097" t="s">
        <v>20</v>
      </c>
      <c r="L1097">
        <f t="shared" si="52"/>
        <v>1</v>
      </c>
      <c r="M1097">
        <v>6</v>
      </c>
      <c r="N1097">
        <v>3</v>
      </c>
      <c r="O1097">
        <f t="shared" si="53"/>
        <v>1</v>
      </c>
    </row>
    <row r="1098" spans="1:15" x14ac:dyDescent="0.3">
      <c r="A1098" t="s">
        <v>15</v>
      </c>
      <c r="B1098" t="s">
        <v>240</v>
      </c>
      <c r="C1098" t="s">
        <v>241</v>
      </c>
      <c r="D1098">
        <v>1</v>
      </c>
      <c r="E1098" t="s">
        <v>39</v>
      </c>
      <c r="F1098" t="s">
        <v>40</v>
      </c>
      <c r="G1098">
        <v>93</v>
      </c>
      <c r="H1098">
        <v>0</v>
      </c>
      <c r="I1098">
        <v>93</v>
      </c>
      <c r="J1098">
        <f t="shared" si="51"/>
        <v>0</v>
      </c>
      <c r="K1098" t="s">
        <v>20</v>
      </c>
      <c r="L1098">
        <f t="shared" si="52"/>
        <v>1</v>
      </c>
      <c r="M1098">
        <v>10</v>
      </c>
      <c r="N1098">
        <v>1</v>
      </c>
      <c r="O1098">
        <f t="shared" si="53"/>
        <v>0</v>
      </c>
    </row>
    <row r="1099" spans="1:15" x14ac:dyDescent="0.3">
      <c r="A1099" t="s">
        <v>15</v>
      </c>
      <c r="B1099" t="s">
        <v>240</v>
      </c>
      <c r="C1099" t="s">
        <v>241</v>
      </c>
      <c r="D1099">
        <v>1</v>
      </c>
      <c r="E1099" t="s">
        <v>41</v>
      </c>
      <c r="F1099" t="s">
        <v>42</v>
      </c>
      <c r="G1099">
        <v>22</v>
      </c>
      <c r="H1099">
        <v>12</v>
      </c>
      <c r="I1099">
        <v>34</v>
      </c>
      <c r="J1099">
        <f t="shared" si="51"/>
        <v>10</v>
      </c>
      <c r="K1099" t="s">
        <v>87</v>
      </c>
      <c r="L1099">
        <f t="shared" si="52"/>
        <v>0</v>
      </c>
      <c r="M1099">
        <v>0</v>
      </c>
      <c r="N1099">
        <v>3</v>
      </c>
      <c r="O1099">
        <f t="shared" si="53"/>
        <v>1</v>
      </c>
    </row>
    <row r="1100" spans="1:15" x14ac:dyDescent="0.3">
      <c r="A1100" t="s">
        <v>15</v>
      </c>
      <c r="B1100" t="s">
        <v>240</v>
      </c>
      <c r="C1100" t="s">
        <v>241</v>
      </c>
      <c r="D1100">
        <v>1</v>
      </c>
      <c r="E1100" t="s">
        <v>43</v>
      </c>
      <c r="F1100" t="s">
        <v>44</v>
      </c>
      <c r="G1100">
        <v>82</v>
      </c>
      <c r="H1100">
        <v>0</v>
      </c>
      <c r="I1100">
        <v>82</v>
      </c>
      <c r="J1100">
        <f t="shared" si="51"/>
        <v>0</v>
      </c>
      <c r="K1100" t="s">
        <v>20</v>
      </c>
      <c r="L1100">
        <f t="shared" si="52"/>
        <v>1</v>
      </c>
      <c r="M1100">
        <v>9</v>
      </c>
      <c r="N1100">
        <v>1</v>
      </c>
      <c r="O1100">
        <f t="shared" si="53"/>
        <v>0</v>
      </c>
    </row>
    <row r="1101" spans="1:15" x14ac:dyDescent="0.3">
      <c r="A1101" t="s">
        <v>15</v>
      </c>
      <c r="B1101" t="s">
        <v>240</v>
      </c>
      <c r="C1101" t="s">
        <v>241</v>
      </c>
      <c r="D1101">
        <v>1</v>
      </c>
      <c r="E1101" t="s">
        <v>45</v>
      </c>
      <c r="F1101" t="s">
        <v>46</v>
      </c>
      <c r="G1101">
        <v>23</v>
      </c>
      <c r="H1101">
        <v>38</v>
      </c>
      <c r="I1101">
        <v>61</v>
      </c>
      <c r="J1101">
        <f t="shared" si="51"/>
        <v>-15</v>
      </c>
      <c r="K1101" t="s">
        <v>20</v>
      </c>
      <c r="L1101">
        <f t="shared" si="52"/>
        <v>1</v>
      </c>
      <c r="M1101">
        <v>6</v>
      </c>
      <c r="N1101">
        <v>1</v>
      </c>
      <c r="O1101">
        <f t="shared" si="53"/>
        <v>1</v>
      </c>
    </row>
    <row r="1102" spans="1:15" x14ac:dyDescent="0.3">
      <c r="A1102" t="s">
        <v>15</v>
      </c>
      <c r="B1102" t="s">
        <v>240</v>
      </c>
      <c r="C1102" t="s">
        <v>241</v>
      </c>
      <c r="D1102">
        <v>1</v>
      </c>
      <c r="E1102" t="s">
        <v>161</v>
      </c>
      <c r="F1102" t="s">
        <v>162</v>
      </c>
      <c r="G1102">
        <v>73</v>
      </c>
      <c r="H1102">
        <v>0</v>
      </c>
      <c r="I1102">
        <v>73</v>
      </c>
      <c r="J1102">
        <f t="shared" si="51"/>
        <v>0</v>
      </c>
      <c r="K1102" t="s">
        <v>20</v>
      </c>
      <c r="L1102">
        <f t="shared" si="52"/>
        <v>1</v>
      </c>
      <c r="M1102">
        <v>8</v>
      </c>
      <c r="N1102">
        <v>1</v>
      </c>
      <c r="O1102">
        <f t="shared" si="53"/>
        <v>0</v>
      </c>
    </row>
    <row r="1103" spans="1:15" x14ac:dyDescent="0.3">
      <c r="A1103" t="s">
        <v>15</v>
      </c>
      <c r="B1103" t="s">
        <v>240</v>
      </c>
      <c r="C1103" t="s">
        <v>241</v>
      </c>
      <c r="D1103">
        <v>1</v>
      </c>
      <c r="E1103" t="s">
        <v>49</v>
      </c>
      <c r="F1103" t="s">
        <v>50</v>
      </c>
      <c r="G1103">
        <v>90</v>
      </c>
      <c r="H1103">
        <v>0</v>
      </c>
      <c r="I1103">
        <v>90</v>
      </c>
      <c r="J1103">
        <f t="shared" si="51"/>
        <v>0</v>
      </c>
      <c r="K1103" t="s">
        <v>20</v>
      </c>
      <c r="L1103">
        <f t="shared" si="52"/>
        <v>1</v>
      </c>
      <c r="M1103">
        <v>9</v>
      </c>
      <c r="N1103">
        <v>1</v>
      </c>
      <c r="O1103">
        <f t="shared" si="53"/>
        <v>0</v>
      </c>
    </row>
    <row r="1104" spans="1:15" x14ac:dyDescent="0.3">
      <c r="A1104" t="s">
        <v>15</v>
      </c>
      <c r="B1104" t="s">
        <v>240</v>
      </c>
      <c r="C1104" t="s">
        <v>241</v>
      </c>
      <c r="D1104">
        <v>1</v>
      </c>
      <c r="E1104" t="s">
        <v>51</v>
      </c>
      <c r="F1104" t="s">
        <v>52</v>
      </c>
      <c r="G1104">
        <v>86</v>
      </c>
      <c r="H1104">
        <v>0</v>
      </c>
      <c r="I1104">
        <v>86</v>
      </c>
      <c r="J1104">
        <f t="shared" si="51"/>
        <v>0</v>
      </c>
      <c r="K1104" t="s">
        <v>20</v>
      </c>
      <c r="L1104">
        <f t="shared" si="52"/>
        <v>1</v>
      </c>
      <c r="M1104">
        <v>9</v>
      </c>
      <c r="N1104">
        <v>1</v>
      </c>
      <c r="O1104">
        <f t="shared" si="53"/>
        <v>0</v>
      </c>
    </row>
    <row r="1105" spans="1:15" x14ac:dyDescent="0.3">
      <c r="A1105" t="s">
        <v>15</v>
      </c>
      <c r="B1105" t="s">
        <v>240</v>
      </c>
      <c r="C1105" t="s">
        <v>241</v>
      </c>
      <c r="D1105">
        <v>1</v>
      </c>
      <c r="E1105" t="s">
        <v>53</v>
      </c>
      <c r="F1105" t="s">
        <v>54</v>
      </c>
      <c r="G1105">
        <v>37</v>
      </c>
      <c r="H1105">
        <v>25</v>
      </c>
      <c r="I1105">
        <v>62</v>
      </c>
      <c r="J1105">
        <f t="shared" si="51"/>
        <v>12</v>
      </c>
      <c r="K1105" t="s">
        <v>20</v>
      </c>
      <c r="L1105">
        <f t="shared" si="52"/>
        <v>1</v>
      </c>
      <c r="M1105">
        <v>6</v>
      </c>
      <c r="N1105">
        <v>4</v>
      </c>
      <c r="O1105">
        <f t="shared" si="53"/>
        <v>1</v>
      </c>
    </row>
    <row r="1106" spans="1:15" x14ac:dyDescent="0.3">
      <c r="A1106" t="s">
        <v>15</v>
      </c>
      <c r="B1106" t="s">
        <v>240</v>
      </c>
      <c r="C1106" t="s">
        <v>241</v>
      </c>
      <c r="D1106">
        <v>1</v>
      </c>
      <c r="E1106" t="s">
        <v>55</v>
      </c>
      <c r="F1106" t="s">
        <v>56</v>
      </c>
      <c r="G1106">
        <v>40</v>
      </c>
      <c r="H1106">
        <v>33</v>
      </c>
      <c r="I1106">
        <v>73</v>
      </c>
      <c r="J1106">
        <f t="shared" si="51"/>
        <v>7</v>
      </c>
      <c r="K1106" t="s">
        <v>20</v>
      </c>
      <c r="L1106">
        <f t="shared" si="52"/>
        <v>1</v>
      </c>
      <c r="M1106">
        <v>8</v>
      </c>
      <c r="N1106">
        <v>3</v>
      </c>
      <c r="O1106">
        <f t="shared" si="53"/>
        <v>1</v>
      </c>
    </row>
    <row r="1107" spans="1:15" x14ac:dyDescent="0.3">
      <c r="A1107" t="s">
        <v>15</v>
      </c>
      <c r="B1107" t="s">
        <v>240</v>
      </c>
      <c r="C1107" t="s">
        <v>241</v>
      </c>
      <c r="D1107">
        <v>1</v>
      </c>
      <c r="E1107" t="s">
        <v>57</v>
      </c>
      <c r="F1107" t="s">
        <v>58</v>
      </c>
      <c r="G1107">
        <v>35</v>
      </c>
      <c r="H1107">
        <v>40</v>
      </c>
      <c r="I1107">
        <v>75</v>
      </c>
      <c r="J1107">
        <f t="shared" si="51"/>
        <v>-5</v>
      </c>
      <c r="K1107" t="s">
        <v>20</v>
      </c>
      <c r="L1107">
        <f t="shared" si="52"/>
        <v>1</v>
      </c>
      <c r="M1107">
        <v>8</v>
      </c>
      <c r="N1107">
        <v>4</v>
      </c>
      <c r="O1107">
        <f t="shared" si="53"/>
        <v>1</v>
      </c>
    </row>
    <row r="1108" spans="1:15" x14ac:dyDescent="0.3">
      <c r="A1108" t="s">
        <v>15</v>
      </c>
      <c r="B1108" t="s">
        <v>242</v>
      </c>
      <c r="C1108" t="s">
        <v>243</v>
      </c>
      <c r="D1108">
        <v>2</v>
      </c>
      <c r="E1108" t="s">
        <v>33</v>
      </c>
      <c r="F1108" t="s">
        <v>34</v>
      </c>
      <c r="G1108">
        <v>29</v>
      </c>
      <c r="H1108">
        <v>1</v>
      </c>
      <c r="I1108">
        <v>30</v>
      </c>
      <c r="J1108">
        <f t="shared" si="51"/>
        <v>28</v>
      </c>
      <c r="K1108" t="s">
        <v>87</v>
      </c>
      <c r="L1108">
        <f t="shared" si="52"/>
        <v>0</v>
      </c>
      <c r="M1108">
        <v>0</v>
      </c>
      <c r="N1108">
        <v>4</v>
      </c>
      <c r="O1108">
        <f t="shared" si="53"/>
        <v>1</v>
      </c>
    </row>
    <row r="1109" spans="1:15" x14ac:dyDescent="0.3">
      <c r="A1109" t="s">
        <v>15</v>
      </c>
      <c r="B1109" t="s">
        <v>242</v>
      </c>
      <c r="C1109" t="s">
        <v>243</v>
      </c>
      <c r="D1109">
        <v>2</v>
      </c>
      <c r="E1109" t="s">
        <v>18</v>
      </c>
      <c r="F1109" t="s">
        <v>19</v>
      </c>
      <c r="G1109">
        <v>41</v>
      </c>
      <c r="H1109">
        <v>23</v>
      </c>
      <c r="I1109">
        <v>64</v>
      </c>
      <c r="J1109">
        <f t="shared" si="51"/>
        <v>18</v>
      </c>
      <c r="K1109" t="s">
        <v>20</v>
      </c>
      <c r="L1109">
        <f t="shared" si="52"/>
        <v>1</v>
      </c>
      <c r="M1109">
        <v>7</v>
      </c>
      <c r="N1109">
        <v>4</v>
      </c>
      <c r="O1109">
        <f t="shared" si="53"/>
        <v>1</v>
      </c>
    </row>
    <row r="1110" spans="1:15" x14ac:dyDescent="0.3">
      <c r="A1110" t="s">
        <v>15</v>
      </c>
      <c r="B1110" t="s">
        <v>242</v>
      </c>
      <c r="C1110" t="s">
        <v>243</v>
      </c>
      <c r="D1110">
        <v>2</v>
      </c>
      <c r="E1110" t="s">
        <v>21</v>
      </c>
      <c r="F1110" t="s">
        <v>22</v>
      </c>
      <c r="G1110">
        <v>41</v>
      </c>
      <c r="H1110">
        <v>24</v>
      </c>
      <c r="I1110">
        <v>65</v>
      </c>
      <c r="J1110">
        <f t="shared" si="51"/>
        <v>17</v>
      </c>
      <c r="K1110" t="s">
        <v>20</v>
      </c>
      <c r="L1110">
        <f t="shared" si="52"/>
        <v>1</v>
      </c>
      <c r="M1110">
        <v>7</v>
      </c>
      <c r="N1110">
        <v>4</v>
      </c>
      <c r="O1110">
        <f t="shared" si="53"/>
        <v>1</v>
      </c>
    </row>
    <row r="1111" spans="1:15" x14ac:dyDescent="0.3">
      <c r="A1111" t="s">
        <v>15</v>
      </c>
      <c r="B1111" t="s">
        <v>242</v>
      </c>
      <c r="C1111" t="s">
        <v>243</v>
      </c>
      <c r="D1111">
        <v>2</v>
      </c>
      <c r="E1111" t="s">
        <v>41</v>
      </c>
      <c r="F1111" t="s">
        <v>42</v>
      </c>
      <c r="G1111">
        <v>18</v>
      </c>
      <c r="H1111">
        <v>17</v>
      </c>
      <c r="I1111">
        <v>35</v>
      </c>
      <c r="J1111">
        <f t="shared" si="51"/>
        <v>1</v>
      </c>
      <c r="K1111" t="s">
        <v>87</v>
      </c>
      <c r="L1111">
        <f t="shared" si="52"/>
        <v>0</v>
      </c>
      <c r="M1111">
        <v>0</v>
      </c>
      <c r="N1111">
        <v>3</v>
      </c>
      <c r="O1111">
        <f t="shared" si="53"/>
        <v>1</v>
      </c>
    </row>
    <row r="1112" spans="1:15" x14ac:dyDescent="0.3">
      <c r="A1112" t="s">
        <v>15</v>
      </c>
      <c r="B1112" t="s">
        <v>242</v>
      </c>
      <c r="C1112" t="s">
        <v>243</v>
      </c>
      <c r="D1112">
        <v>2</v>
      </c>
      <c r="E1112" t="s">
        <v>23</v>
      </c>
      <c r="F1112" t="s">
        <v>24</v>
      </c>
      <c r="G1112">
        <v>84</v>
      </c>
      <c r="H1112">
        <v>0</v>
      </c>
      <c r="I1112">
        <v>84</v>
      </c>
      <c r="J1112">
        <f t="shared" si="51"/>
        <v>0</v>
      </c>
      <c r="K1112" t="s">
        <v>20</v>
      </c>
      <c r="L1112">
        <f t="shared" si="52"/>
        <v>1</v>
      </c>
      <c r="M1112">
        <v>9</v>
      </c>
      <c r="N1112">
        <v>1</v>
      </c>
      <c r="O1112">
        <f t="shared" si="53"/>
        <v>0</v>
      </c>
    </row>
    <row r="1113" spans="1:15" x14ac:dyDescent="0.3">
      <c r="A1113" t="s">
        <v>15</v>
      </c>
      <c r="B1113" t="s">
        <v>242</v>
      </c>
      <c r="C1113" t="s">
        <v>243</v>
      </c>
      <c r="D1113">
        <v>2</v>
      </c>
      <c r="E1113" t="s">
        <v>25</v>
      </c>
      <c r="F1113" t="s">
        <v>26</v>
      </c>
      <c r="G1113">
        <v>35</v>
      </c>
      <c r="H1113">
        <v>33</v>
      </c>
      <c r="I1113">
        <v>68</v>
      </c>
      <c r="J1113">
        <f t="shared" si="51"/>
        <v>2</v>
      </c>
      <c r="K1113" t="s">
        <v>20</v>
      </c>
      <c r="L1113">
        <f t="shared" si="52"/>
        <v>1</v>
      </c>
      <c r="M1113">
        <v>7</v>
      </c>
      <c r="N1113">
        <v>1</v>
      </c>
      <c r="O1113">
        <f t="shared" si="53"/>
        <v>1</v>
      </c>
    </row>
    <row r="1114" spans="1:15" x14ac:dyDescent="0.3">
      <c r="A1114" t="s">
        <v>15</v>
      </c>
      <c r="B1114" t="s">
        <v>242</v>
      </c>
      <c r="C1114" t="s">
        <v>243</v>
      </c>
      <c r="D1114">
        <v>2</v>
      </c>
      <c r="E1114" t="s">
        <v>27</v>
      </c>
      <c r="F1114" t="s">
        <v>28</v>
      </c>
      <c r="G1114">
        <v>30</v>
      </c>
      <c r="H1114">
        <v>44</v>
      </c>
      <c r="I1114">
        <v>74</v>
      </c>
      <c r="J1114">
        <f t="shared" si="51"/>
        <v>-14</v>
      </c>
      <c r="K1114" t="s">
        <v>20</v>
      </c>
      <c r="L1114">
        <f t="shared" si="52"/>
        <v>1</v>
      </c>
      <c r="M1114">
        <v>8</v>
      </c>
      <c r="N1114">
        <v>2</v>
      </c>
      <c r="O1114">
        <f t="shared" si="53"/>
        <v>1</v>
      </c>
    </row>
    <row r="1115" spans="1:15" x14ac:dyDescent="0.3">
      <c r="A1115" t="s">
        <v>15</v>
      </c>
      <c r="B1115" t="s">
        <v>242</v>
      </c>
      <c r="C1115" t="s">
        <v>243</v>
      </c>
      <c r="D1115">
        <v>2</v>
      </c>
      <c r="E1115" t="s">
        <v>117</v>
      </c>
      <c r="F1115" t="s">
        <v>118</v>
      </c>
      <c r="G1115">
        <v>84</v>
      </c>
      <c r="H1115">
        <v>0</v>
      </c>
      <c r="I1115">
        <v>84</v>
      </c>
      <c r="J1115">
        <f t="shared" si="51"/>
        <v>0</v>
      </c>
      <c r="K1115" t="s">
        <v>20</v>
      </c>
      <c r="L1115">
        <f t="shared" si="52"/>
        <v>1</v>
      </c>
      <c r="M1115">
        <v>9</v>
      </c>
      <c r="N1115">
        <v>1</v>
      </c>
      <c r="O1115">
        <f t="shared" si="53"/>
        <v>0</v>
      </c>
    </row>
    <row r="1116" spans="1:15" x14ac:dyDescent="0.3">
      <c r="A1116" t="s">
        <v>15</v>
      </c>
      <c r="B1116" t="s">
        <v>242</v>
      </c>
      <c r="C1116" t="s">
        <v>243</v>
      </c>
      <c r="D1116">
        <v>2</v>
      </c>
      <c r="E1116" t="s">
        <v>123</v>
      </c>
      <c r="F1116" t="s">
        <v>124</v>
      </c>
      <c r="G1116">
        <v>45</v>
      </c>
      <c r="H1116">
        <v>0</v>
      </c>
      <c r="I1116">
        <v>45</v>
      </c>
      <c r="J1116">
        <f t="shared" si="51"/>
        <v>0</v>
      </c>
      <c r="K1116" t="s">
        <v>87</v>
      </c>
      <c r="L1116">
        <f t="shared" si="52"/>
        <v>0</v>
      </c>
      <c r="M1116">
        <v>0</v>
      </c>
      <c r="N1116">
        <v>1</v>
      </c>
      <c r="O1116">
        <f t="shared" si="53"/>
        <v>0</v>
      </c>
    </row>
    <row r="1117" spans="1:15" x14ac:dyDescent="0.3">
      <c r="A1117" t="s">
        <v>15</v>
      </c>
      <c r="B1117" t="s">
        <v>242</v>
      </c>
      <c r="C1117" t="s">
        <v>243</v>
      </c>
      <c r="D1117">
        <v>2</v>
      </c>
      <c r="E1117" t="s">
        <v>31</v>
      </c>
      <c r="F1117" t="s">
        <v>32</v>
      </c>
      <c r="G1117">
        <v>92</v>
      </c>
      <c r="H1117">
        <v>0</v>
      </c>
      <c r="I1117">
        <v>92</v>
      </c>
      <c r="J1117">
        <f t="shared" si="51"/>
        <v>0</v>
      </c>
      <c r="K1117" t="s">
        <v>20</v>
      </c>
      <c r="L1117">
        <f t="shared" si="52"/>
        <v>1</v>
      </c>
      <c r="M1117">
        <v>10</v>
      </c>
      <c r="N1117">
        <v>1</v>
      </c>
      <c r="O1117">
        <f t="shared" si="53"/>
        <v>0</v>
      </c>
    </row>
    <row r="1118" spans="1:15" x14ac:dyDescent="0.3">
      <c r="A1118" t="s">
        <v>15</v>
      </c>
      <c r="B1118" t="s">
        <v>242</v>
      </c>
      <c r="C1118" t="s">
        <v>243</v>
      </c>
      <c r="D1118">
        <v>2</v>
      </c>
      <c r="E1118" t="s">
        <v>53</v>
      </c>
      <c r="F1118" t="s">
        <v>54</v>
      </c>
      <c r="G1118">
        <v>30</v>
      </c>
      <c r="H1118">
        <v>6</v>
      </c>
      <c r="I1118">
        <v>36</v>
      </c>
      <c r="J1118">
        <f t="shared" si="51"/>
        <v>24</v>
      </c>
      <c r="K1118" t="s">
        <v>87</v>
      </c>
      <c r="L1118">
        <f t="shared" si="52"/>
        <v>0</v>
      </c>
      <c r="M1118">
        <v>0</v>
      </c>
      <c r="N1118">
        <v>4</v>
      </c>
      <c r="O1118">
        <f t="shared" si="53"/>
        <v>1</v>
      </c>
    </row>
    <row r="1119" spans="1:15" x14ac:dyDescent="0.3">
      <c r="A1119" t="s">
        <v>15</v>
      </c>
      <c r="B1119" t="s">
        <v>242</v>
      </c>
      <c r="C1119" t="s">
        <v>243</v>
      </c>
      <c r="D1119">
        <v>2</v>
      </c>
      <c r="E1119" t="s">
        <v>35</v>
      </c>
      <c r="F1119" t="s">
        <v>36</v>
      </c>
      <c r="G1119">
        <v>14</v>
      </c>
      <c r="H1119">
        <v>43</v>
      </c>
      <c r="I1119">
        <v>57</v>
      </c>
      <c r="J1119">
        <f t="shared" si="51"/>
        <v>-29</v>
      </c>
      <c r="K1119" t="s">
        <v>20</v>
      </c>
      <c r="L1119">
        <f t="shared" si="52"/>
        <v>1</v>
      </c>
      <c r="M1119">
        <v>6</v>
      </c>
      <c r="N1119">
        <v>3</v>
      </c>
      <c r="O1119">
        <f t="shared" si="53"/>
        <v>1</v>
      </c>
    </row>
    <row r="1120" spans="1:15" x14ac:dyDescent="0.3">
      <c r="A1120" t="s">
        <v>15</v>
      </c>
      <c r="B1120" t="s">
        <v>242</v>
      </c>
      <c r="C1120" t="s">
        <v>243</v>
      </c>
      <c r="D1120">
        <v>2</v>
      </c>
      <c r="E1120" t="s">
        <v>57</v>
      </c>
      <c r="F1120" t="s">
        <v>58</v>
      </c>
      <c r="G1120">
        <v>29</v>
      </c>
      <c r="H1120">
        <v>5</v>
      </c>
      <c r="I1120">
        <v>34</v>
      </c>
      <c r="J1120">
        <f t="shared" si="51"/>
        <v>24</v>
      </c>
      <c r="K1120" t="s">
        <v>87</v>
      </c>
      <c r="L1120">
        <f t="shared" si="52"/>
        <v>0</v>
      </c>
      <c r="M1120">
        <v>0</v>
      </c>
      <c r="N1120">
        <v>4</v>
      </c>
      <c r="O1120">
        <f t="shared" si="53"/>
        <v>1</v>
      </c>
    </row>
    <row r="1121" spans="1:15" x14ac:dyDescent="0.3">
      <c r="A1121" t="s">
        <v>15</v>
      </c>
      <c r="B1121" t="s">
        <v>242</v>
      </c>
      <c r="C1121" t="s">
        <v>243</v>
      </c>
      <c r="D1121">
        <v>2</v>
      </c>
      <c r="E1121" t="s">
        <v>37</v>
      </c>
      <c r="F1121" t="s">
        <v>38</v>
      </c>
      <c r="G1121">
        <v>24</v>
      </c>
      <c r="H1121">
        <v>31</v>
      </c>
      <c r="I1121">
        <v>55</v>
      </c>
      <c r="J1121">
        <f t="shared" si="51"/>
        <v>-7</v>
      </c>
      <c r="K1121" t="s">
        <v>20</v>
      </c>
      <c r="L1121">
        <f t="shared" si="52"/>
        <v>1</v>
      </c>
      <c r="M1121">
        <v>6</v>
      </c>
      <c r="N1121">
        <v>3</v>
      </c>
      <c r="O1121">
        <f t="shared" si="53"/>
        <v>1</v>
      </c>
    </row>
    <row r="1122" spans="1:15" x14ac:dyDescent="0.3">
      <c r="A1122" t="s">
        <v>15</v>
      </c>
      <c r="B1122" t="s">
        <v>242</v>
      </c>
      <c r="C1122" t="s">
        <v>243</v>
      </c>
      <c r="D1122">
        <v>1</v>
      </c>
      <c r="E1122" t="s">
        <v>39</v>
      </c>
      <c r="F1122" t="s">
        <v>40</v>
      </c>
      <c r="G1122">
        <v>90</v>
      </c>
      <c r="H1122">
        <v>0</v>
      </c>
      <c r="I1122">
        <v>90</v>
      </c>
      <c r="J1122">
        <f t="shared" si="51"/>
        <v>0</v>
      </c>
      <c r="K1122" t="s">
        <v>20</v>
      </c>
      <c r="L1122">
        <f t="shared" si="52"/>
        <v>1</v>
      </c>
      <c r="M1122">
        <v>9</v>
      </c>
      <c r="N1122">
        <v>1</v>
      </c>
      <c r="O1122">
        <f t="shared" si="53"/>
        <v>0</v>
      </c>
    </row>
    <row r="1123" spans="1:15" x14ac:dyDescent="0.3">
      <c r="A1123" t="s">
        <v>15</v>
      </c>
      <c r="B1123" t="s">
        <v>242</v>
      </c>
      <c r="C1123" t="s">
        <v>243</v>
      </c>
      <c r="D1123">
        <v>1</v>
      </c>
      <c r="E1123" t="s">
        <v>41</v>
      </c>
      <c r="F1123" t="s">
        <v>42</v>
      </c>
      <c r="G1123">
        <v>18</v>
      </c>
      <c r="H1123">
        <v>0</v>
      </c>
      <c r="I1123">
        <v>18</v>
      </c>
      <c r="J1123">
        <f t="shared" si="51"/>
        <v>0</v>
      </c>
      <c r="K1123" t="s">
        <v>87</v>
      </c>
      <c r="L1123">
        <f t="shared" si="52"/>
        <v>0</v>
      </c>
      <c r="M1123">
        <v>0</v>
      </c>
      <c r="N1123">
        <v>3</v>
      </c>
      <c r="O1123">
        <f t="shared" si="53"/>
        <v>0</v>
      </c>
    </row>
    <row r="1124" spans="1:15" x14ac:dyDescent="0.3">
      <c r="A1124" t="s">
        <v>15</v>
      </c>
      <c r="B1124" t="s">
        <v>242</v>
      </c>
      <c r="C1124" t="s">
        <v>243</v>
      </c>
      <c r="D1124">
        <v>1</v>
      </c>
      <c r="E1124" t="s">
        <v>43</v>
      </c>
      <c r="F1124" t="s">
        <v>44</v>
      </c>
      <c r="G1124">
        <v>66</v>
      </c>
      <c r="H1124">
        <v>0</v>
      </c>
      <c r="I1124">
        <v>66</v>
      </c>
      <c r="J1124">
        <f t="shared" si="51"/>
        <v>0</v>
      </c>
      <c r="K1124" t="s">
        <v>20</v>
      </c>
      <c r="L1124">
        <f t="shared" si="52"/>
        <v>1</v>
      </c>
      <c r="M1124">
        <v>7</v>
      </c>
      <c r="N1124">
        <v>1</v>
      </c>
      <c r="O1124">
        <f t="shared" si="53"/>
        <v>0</v>
      </c>
    </row>
    <row r="1125" spans="1:15" x14ac:dyDescent="0.3">
      <c r="A1125" t="s">
        <v>15</v>
      </c>
      <c r="B1125" t="s">
        <v>242</v>
      </c>
      <c r="C1125" t="s">
        <v>243</v>
      </c>
      <c r="D1125">
        <v>1</v>
      </c>
      <c r="E1125" t="s">
        <v>45</v>
      </c>
      <c r="F1125" t="s">
        <v>46</v>
      </c>
      <c r="G1125">
        <v>29</v>
      </c>
      <c r="H1125">
        <v>40</v>
      </c>
      <c r="I1125">
        <v>69</v>
      </c>
      <c r="J1125">
        <f t="shared" si="51"/>
        <v>-11</v>
      </c>
      <c r="K1125" t="s">
        <v>20</v>
      </c>
      <c r="L1125">
        <f t="shared" si="52"/>
        <v>1</v>
      </c>
      <c r="M1125">
        <v>7</v>
      </c>
      <c r="N1125">
        <v>1</v>
      </c>
      <c r="O1125">
        <f t="shared" si="53"/>
        <v>1</v>
      </c>
    </row>
    <row r="1126" spans="1:15" x14ac:dyDescent="0.3">
      <c r="A1126" t="s">
        <v>15</v>
      </c>
      <c r="B1126" t="s">
        <v>242</v>
      </c>
      <c r="C1126" t="s">
        <v>243</v>
      </c>
      <c r="D1126">
        <v>1</v>
      </c>
      <c r="E1126" t="s">
        <v>123</v>
      </c>
      <c r="F1126" t="s">
        <v>124</v>
      </c>
      <c r="G1126">
        <v>45</v>
      </c>
      <c r="H1126">
        <v>0</v>
      </c>
      <c r="I1126">
        <v>45</v>
      </c>
      <c r="J1126">
        <f t="shared" si="51"/>
        <v>0</v>
      </c>
      <c r="K1126" t="s">
        <v>87</v>
      </c>
      <c r="L1126">
        <f t="shared" si="52"/>
        <v>0</v>
      </c>
      <c r="M1126">
        <v>0</v>
      </c>
      <c r="N1126">
        <v>1</v>
      </c>
      <c r="O1126">
        <f t="shared" si="53"/>
        <v>0</v>
      </c>
    </row>
    <row r="1127" spans="1:15" x14ac:dyDescent="0.3">
      <c r="A1127" t="s">
        <v>15</v>
      </c>
      <c r="B1127" t="s">
        <v>242</v>
      </c>
      <c r="C1127" t="s">
        <v>243</v>
      </c>
      <c r="D1127">
        <v>1</v>
      </c>
      <c r="E1127" t="s">
        <v>49</v>
      </c>
      <c r="F1127" t="s">
        <v>50</v>
      </c>
      <c r="G1127">
        <v>90</v>
      </c>
      <c r="H1127">
        <v>0</v>
      </c>
      <c r="I1127">
        <v>90</v>
      </c>
      <c r="J1127">
        <f t="shared" si="51"/>
        <v>0</v>
      </c>
      <c r="K1127" t="s">
        <v>20</v>
      </c>
      <c r="L1127">
        <f t="shared" si="52"/>
        <v>1</v>
      </c>
      <c r="M1127">
        <v>9</v>
      </c>
      <c r="N1127">
        <v>1</v>
      </c>
      <c r="O1127">
        <f t="shared" si="53"/>
        <v>0</v>
      </c>
    </row>
    <row r="1128" spans="1:15" x14ac:dyDescent="0.3">
      <c r="A1128" t="s">
        <v>15</v>
      </c>
      <c r="B1128" t="s">
        <v>242</v>
      </c>
      <c r="C1128" t="s">
        <v>243</v>
      </c>
      <c r="D1128">
        <v>1</v>
      </c>
      <c r="E1128" t="s">
        <v>51</v>
      </c>
      <c r="F1128" t="s">
        <v>52</v>
      </c>
      <c r="G1128">
        <v>83</v>
      </c>
      <c r="H1128">
        <v>0</v>
      </c>
      <c r="I1128">
        <v>83</v>
      </c>
      <c r="J1128">
        <f t="shared" si="51"/>
        <v>0</v>
      </c>
      <c r="K1128" t="s">
        <v>20</v>
      </c>
      <c r="L1128">
        <f t="shared" si="52"/>
        <v>1</v>
      </c>
      <c r="M1128">
        <v>9</v>
      </c>
      <c r="N1128">
        <v>1</v>
      </c>
      <c r="O1128">
        <f t="shared" si="53"/>
        <v>0</v>
      </c>
    </row>
    <row r="1129" spans="1:15" x14ac:dyDescent="0.3">
      <c r="A1129" t="s">
        <v>15</v>
      </c>
      <c r="B1129" t="s">
        <v>242</v>
      </c>
      <c r="C1129" t="s">
        <v>243</v>
      </c>
      <c r="D1129">
        <v>1</v>
      </c>
      <c r="E1129" t="s">
        <v>53</v>
      </c>
      <c r="F1129" t="s">
        <v>54</v>
      </c>
      <c r="G1129">
        <v>30</v>
      </c>
      <c r="H1129">
        <v>9</v>
      </c>
      <c r="I1129">
        <v>39</v>
      </c>
      <c r="J1129">
        <f t="shared" si="51"/>
        <v>21</v>
      </c>
      <c r="K1129" t="s">
        <v>87</v>
      </c>
      <c r="L1129">
        <f t="shared" si="52"/>
        <v>0</v>
      </c>
      <c r="M1129">
        <v>0</v>
      </c>
      <c r="N1129">
        <v>4</v>
      </c>
      <c r="O1129">
        <f t="shared" si="53"/>
        <v>1</v>
      </c>
    </row>
    <row r="1130" spans="1:15" x14ac:dyDescent="0.3">
      <c r="A1130" t="s">
        <v>15</v>
      </c>
      <c r="B1130" t="s">
        <v>242</v>
      </c>
      <c r="C1130" t="s">
        <v>243</v>
      </c>
      <c r="D1130">
        <v>1</v>
      </c>
      <c r="E1130" t="s">
        <v>55</v>
      </c>
      <c r="F1130" t="s">
        <v>56</v>
      </c>
      <c r="G1130">
        <v>35</v>
      </c>
      <c r="H1130">
        <v>38</v>
      </c>
      <c r="I1130">
        <v>73</v>
      </c>
      <c r="J1130">
        <f t="shared" si="51"/>
        <v>-3</v>
      </c>
      <c r="K1130" t="s">
        <v>20</v>
      </c>
      <c r="L1130">
        <f t="shared" si="52"/>
        <v>1</v>
      </c>
      <c r="M1130">
        <v>8</v>
      </c>
      <c r="N1130">
        <v>3</v>
      </c>
      <c r="O1130">
        <f t="shared" si="53"/>
        <v>1</v>
      </c>
    </row>
    <row r="1131" spans="1:15" x14ac:dyDescent="0.3">
      <c r="A1131" t="s">
        <v>15</v>
      </c>
      <c r="B1131" t="s">
        <v>242</v>
      </c>
      <c r="C1131" t="s">
        <v>243</v>
      </c>
      <c r="D1131">
        <v>1</v>
      </c>
      <c r="E1131" t="s">
        <v>57</v>
      </c>
      <c r="F1131" t="s">
        <v>58</v>
      </c>
      <c r="G1131">
        <v>29</v>
      </c>
      <c r="H1131">
        <v>17</v>
      </c>
      <c r="I1131">
        <v>46</v>
      </c>
      <c r="J1131">
        <f t="shared" si="51"/>
        <v>12</v>
      </c>
      <c r="K1131" t="s">
        <v>87</v>
      </c>
      <c r="L1131">
        <f t="shared" si="52"/>
        <v>0</v>
      </c>
      <c r="M1131">
        <v>0</v>
      </c>
      <c r="N1131">
        <v>4</v>
      </c>
      <c r="O1131">
        <f t="shared" si="53"/>
        <v>1</v>
      </c>
    </row>
    <row r="1132" spans="1:15" x14ac:dyDescent="0.3">
      <c r="A1132" t="s">
        <v>15</v>
      </c>
      <c r="B1132" t="s">
        <v>244</v>
      </c>
      <c r="C1132" t="s">
        <v>245</v>
      </c>
      <c r="D1132">
        <v>2</v>
      </c>
      <c r="E1132" t="s">
        <v>33</v>
      </c>
      <c r="F1132" t="s">
        <v>34</v>
      </c>
      <c r="G1132">
        <v>36</v>
      </c>
      <c r="H1132">
        <v>8</v>
      </c>
      <c r="I1132">
        <v>44</v>
      </c>
      <c r="J1132">
        <f t="shared" si="51"/>
        <v>28</v>
      </c>
      <c r="K1132" t="s">
        <v>87</v>
      </c>
      <c r="L1132">
        <f t="shared" si="52"/>
        <v>0</v>
      </c>
      <c r="M1132">
        <v>0</v>
      </c>
      <c r="N1132">
        <v>4</v>
      </c>
      <c r="O1132">
        <f t="shared" si="53"/>
        <v>1</v>
      </c>
    </row>
    <row r="1133" spans="1:15" x14ac:dyDescent="0.3">
      <c r="A1133" t="s">
        <v>15</v>
      </c>
      <c r="B1133" t="s">
        <v>244</v>
      </c>
      <c r="C1133" t="s">
        <v>245</v>
      </c>
      <c r="D1133">
        <v>2</v>
      </c>
      <c r="E1133" t="s">
        <v>35</v>
      </c>
      <c r="F1133" t="s">
        <v>36</v>
      </c>
      <c r="G1133">
        <v>23</v>
      </c>
      <c r="H1133">
        <v>12</v>
      </c>
      <c r="I1133">
        <v>35</v>
      </c>
      <c r="J1133">
        <f t="shared" si="51"/>
        <v>11</v>
      </c>
      <c r="K1133" t="s">
        <v>87</v>
      </c>
      <c r="L1133">
        <f t="shared" si="52"/>
        <v>0</v>
      </c>
      <c r="M1133">
        <v>0</v>
      </c>
      <c r="N1133">
        <v>3</v>
      </c>
      <c r="O1133">
        <f t="shared" si="53"/>
        <v>1</v>
      </c>
    </row>
    <row r="1134" spans="1:15" x14ac:dyDescent="0.3">
      <c r="A1134" t="s">
        <v>15</v>
      </c>
      <c r="B1134" t="s">
        <v>244</v>
      </c>
      <c r="C1134" t="s">
        <v>245</v>
      </c>
      <c r="D1134">
        <v>2</v>
      </c>
      <c r="E1134" t="s">
        <v>18</v>
      </c>
      <c r="F1134" t="s">
        <v>19</v>
      </c>
      <c r="G1134">
        <v>40</v>
      </c>
      <c r="H1134">
        <v>27</v>
      </c>
      <c r="I1134">
        <v>67</v>
      </c>
      <c r="J1134">
        <f t="shared" si="51"/>
        <v>13</v>
      </c>
      <c r="K1134" t="s">
        <v>20</v>
      </c>
      <c r="L1134">
        <f t="shared" si="52"/>
        <v>1</v>
      </c>
      <c r="M1134">
        <v>7</v>
      </c>
      <c r="N1134">
        <v>4</v>
      </c>
      <c r="O1134">
        <f t="shared" si="53"/>
        <v>1</v>
      </c>
    </row>
    <row r="1135" spans="1:15" x14ac:dyDescent="0.3">
      <c r="A1135" t="s">
        <v>15</v>
      </c>
      <c r="B1135" t="s">
        <v>244</v>
      </c>
      <c r="C1135" t="s">
        <v>245</v>
      </c>
      <c r="D1135">
        <v>2</v>
      </c>
      <c r="E1135" t="s">
        <v>21</v>
      </c>
      <c r="F1135" t="s">
        <v>22</v>
      </c>
      <c r="G1135">
        <v>36</v>
      </c>
      <c r="H1135">
        <v>24</v>
      </c>
      <c r="I1135">
        <v>60</v>
      </c>
      <c r="J1135">
        <f t="shared" si="51"/>
        <v>12</v>
      </c>
      <c r="K1135" t="s">
        <v>20</v>
      </c>
      <c r="L1135">
        <f t="shared" si="52"/>
        <v>1</v>
      </c>
      <c r="M1135">
        <v>6</v>
      </c>
      <c r="N1135">
        <v>4</v>
      </c>
      <c r="O1135">
        <f t="shared" si="53"/>
        <v>1</v>
      </c>
    </row>
    <row r="1136" spans="1:15" x14ac:dyDescent="0.3">
      <c r="A1136" t="s">
        <v>15</v>
      </c>
      <c r="B1136" t="s">
        <v>244</v>
      </c>
      <c r="C1136" t="s">
        <v>245</v>
      </c>
      <c r="D1136">
        <v>2</v>
      </c>
      <c r="E1136" t="s">
        <v>41</v>
      </c>
      <c r="F1136" t="s">
        <v>42</v>
      </c>
      <c r="G1136">
        <v>22</v>
      </c>
      <c r="H1136">
        <v>37</v>
      </c>
      <c r="I1136">
        <v>59</v>
      </c>
      <c r="J1136">
        <f t="shared" si="51"/>
        <v>-15</v>
      </c>
      <c r="K1136" t="s">
        <v>20</v>
      </c>
      <c r="L1136">
        <f t="shared" si="52"/>
        <v>1</v>
      </c>
      <c r="M1136">
        <v>8</v>
      </c>
      <c r="N1136">
        <v>3</v>
      </c>
      <c r="O1136">
        <f t="shared" si="53"/>
        <v>1</v>
      </c>
    </row>
    <row r="1137" spans="1:15" x14ac:dyDescent="0.3">
      <c r="A1137" t="s">
        <v>15</v>
      </c>
      <c r="B1137" t="s">
        <v>244</v>
      </c>
      <c r="C1137" t="s">
        <v>245</v>
      </c>
      <c r="D1137">
        <v>2</v>
      </c>
      <c r="E1137" t="s">
        <v>23</v>
      </c>
      <c r="F1137" t="s">
        <v>24</v>
      </c>
      <c r="G1137">
        <v>88</v>
      </c>
      <c r="H1137">
        <v>0</v>
      </c>
      <c r="I1137">
        <v>88</v>
      </c>
      <c r="J1137">
        <f t="shared" si="51"/>
        <v>0</v>
      </c>
      <c r="K1137" t="s">
        <v>20</v>
      </c>
      <c r="L1137">
        <f t="shared" si="52"/>
        <v>1</v>
      </c>
      <c r="M1137">
        <v>9</v>
      </c>
      <c r="N1137">
        <v>1</v>
      </c>
      <c r="O1137">
        <f t="shared" si="53"/>
        <v>0</v>
      </c>
    </row>
    <row r="1138" spans="1:15" x14ac:dyDescent="0.3">
      <c r="A1138" t="s">
        <v>15</v>
      </c>
      <c r="B1138" t="s">
        <v>244</v>
      </c>
      <c r="C1138" t="s">
        <v>245</v>
      </c>
      <c r="D1138">
        <v>2</v>
      </c>
      <c r="E1138" t="s">
        <v>25</v>
      </c>
      <c r="F1138" t="s">
        <v>26</v>
      </c>
      <c r="G1138">
        <v>36</v>
      </c>
      <c r="H1138">
        <v>25</v>
      </c>
      <c r="I1138">
        <v>61</v>
      </c>
      <c r="J1138">
        <f t="shared" si="51"/>
        <v>11</v>
      </c>
      <c r="K1138" t="s">
        <v>20</v>
      </c>
      <c r="L1138">
        <f t="shared" si="52"/>
        <v>1</v>
      </c>
      <c r="M1138">
        <v>6</v>
      </c>
      <c r="N1138">
        <v>1</v>
      </c>
      <c r="O1138">
        <f t="shared" si="53"/>
        <v>1</v>
      </c>
    </row>
    <row r="1139" spans="1:15" x14ac:dyDescent="0.3">
      <c r="A1139" t="s">
        <v>15</v>
      </c>
      <c r="B1139" t="s">
        <v>244</v>
      </c>
      <c r="C1139" t="s">
        <v>245</v>
      </c>
      <c r="D1139">
        <v>2</v>
      </c>
      <c r="E1139" t="s">
        <v>27</v>
      </c>
      <c r="F1139" t="s">
        <v>28</v>
      </c>
      <c r="G1139">
        <v>26</v>
      </c>
      <c r="H1139">
        <v>27</v>
      </c>
      <c r="I1139">
        <v>53</v>
      </c>
      <c r="J1139">
        <f t="shared" si="51"/>
        <v>-1</v>
      </c>
      <c r="K1139" t="s">
        <v>20</v>
      </c>
      <c r="L1139">
        <f t="shared" si="52"/>
        <v>1</v>
      </c>
      <c r="M1139">
        <v>5</v>
      </c>
      <c r="N1139">
        <v>2</v>
      </c>
      <c r="O1139">
        <f t="shared" si="53"/>
        <v>1</v>
      </c>
    </row>
    <row r="1140" spans="1:15" x14ac:dyDescent="0.3">
      <c r="A1140" t="s">
        <v>15</v>
      </c>
      <c r="B1140" t="s">
        <v>244</v>
      </c>
      <c r="C1140" t="s">
        <v>245</v>
      </c>
      <c r="D1140">
        <v>2</v>
      </c>
      <c r="E1140" t="s">
        <v>246</v>
      </c>
      <c r="F1140" t="s">
        <v>247</v>
      </c>
      <c r="G1140">
        <v>75</v>
      </c>
      <c r="H1140">
        <v>0</v>
      </c>
      <c r="I1140">
        <v>75</v>
      </c>
      <c r="J1140">
        <f t="shared" si="51"/>
        <v>0</v>
      </c>
      <c r="K1140" t="s">
        <v>20</v>
      </c>
      <c r="L1140">
        <f t="shared" si="52"/>
        <v>1</v>
      </c>
      <c r="M1140">
        <v>8</v>
      </c>
      <c r="N1140">
        <v>1</v>
      </c>
      <c r="O1140">
        <f t="shared" si="53"/>
        <v>0</v>
      </c>
    </row>
    <row r="1141" spans="1:15" x14ac:dyDescent="0.3">
      <c r="A1141" t="s">
        <v>15</v>
      </c>
      <c r="B1141" t="s">
        <v>244</v>
      </c>
      <c r="C1141" t="s">
        <v>245</v>
      </c>
      <c r="D1141">
        <v>2</v>
      </c>
      <c r="E1141" t="s">
        <v>31</v>
      </c>
      <c r="F1141" t="s">
        <v>32</v>
      </c>
      <c r="G1141">
        <v>94</v>
      </c>
      <c r="H1141">
        <v>0</v>
      </c>
      <c r="I1141">
        <v>94</v>
      </c>
      <c r="J1141">
        <f t="shared" si="51"/>
        <v>0</v>
      </c>
      <c r="K1141" t="s">
        <v>20</v>
      </c>
      <c r="L1141">
        <f t="shared" si="52"/>
        <v>1</v>
      </c>
      <c r="M1141">
        <v>10</v>
      </c>
      <c r="N1141">
        <v>1</v>
      </c>
      <c r="O1141">
        <f t="shared" si="53"/>
        <v>0</v>
      </c>
    </row>
    <row r="1142" spans="1:15" x14ac:dyDescent="0.3">
      <c r="A1142" t="s">
        <v>15</v>
      </c>
      <c r="B1142" t="s">
        <v>244</v>
      </c>
      <c r="C1142" t="s">
        <v>245</v>
      </c>
      <c r="D1142">
        <v>2</v>
      </c>
      <c r="E1142" t="s">
        <v>37</v>
      </c>
      <c r="F1142" t="s">
        <v>38</v>
      </c>
      <c r="G1142">
        <v>24</v>
      </c>
      <c r="H1142">
        <v>30</v>
      </c>
      <c r="I1142">
        <v>54</v>
      </c>
      <c r="J1142">
        <f t="shared" si="51"/>
        <v>-6</v>
      </c>
      <c r="K1142" t="s">
        <v>20</v>
      </c>
      <c r="L1142">
        <f t="shared" si="52"/>
        <v>1</v>
      </c>
      <c r="M1142">
        <v>5</v>
      </c>
      <c r="N1142">
        <v>3</v>
      </c>
      <c r="O1142">
        <f t="shared" si="53"/>
        <v>1</v>
      </c>
    </row>
    <row r="1143" spans="1:15" x14ac:dyDescent="0.3">
      <c r="A1143" t="s">
        <v>15</v>
      </c>
      <c r="B1143" t="s">
        <v>244</v>
      </c>
      <c r="C1143" t="s">
        <v>245</v>
      </c>
      <c r="D1143">
        <v>1</v>
      </c>
      <c r="E1143" t="s">
        <v>39</v>
      </c>
      <c r="F1143" t="s">
        <v>40</v>
      </c>
      <c r="G1143">
        <v>95</v>
      </c>
      <c r="H1143">
        <v>0</v>
      </c>
      <c r="I1143">
        <v>95</v>
      </c>
      <c r="J1143">
        <f t="shared" si="51"/>
        <v>0</v>
      </c>
      <c r="K1143" t="s">
        <v>20</v>
      </c>
      <c r="L1143">
        <f t="shared" si="52"/>
        <v>1</v>
      </c>
      <c r="M1143">
        <v>10</v>
      </c>
      <c r="N1143">
        <v>1</v>
      </c>
      <c r="O1143">
        <f t="shared" si="53"/>
        <v>0</v>
      </c>
    </row>
    <row r="1144" spans="1:15" x14ac:dyDescent="0.3">
      <c r="A1144" t="s">
        <v>15</v>
      </c>
      <c r="B1144" t="s">
        <v>244</v>
      </c>
      <c r="C1144" t="s">
        <v>245</v>
      </c>
      <c r="D1144">
        <v>1</v>
      </c>
      <c r="E1144" t="s">
        <v>41</v>
      </c>
      <c r="F1144" t="s">
        <v>42</v>
      </c>
      <c r="G1144">
        <v>22</v>
      </c>
      <c r="H1144">
        <v>18</v>
      </c>
      <c r="I1144">
        <v>40</v>
      </c>
      <c r="J1144">
        <f t="shared" si="51"/>
        <v>4</v>
      </c>
      <c r="K1144" t="s">
        <v>87</v>
      </c>
      <c r="L1144">
        <f t="shared" si="52"/>
        <v>0</v>
      </c>
      <c r="M1144">
        <v>0</v>
      </c>
      <c r="N1144">
        <v>3</v>
      </c>
      <c r="O1144">
        <f t="shared" si="53"/>
        <v>1</v>
      </c>
    </row>
    <row r="1145" spans="1:15" x14ac:dyDescent="0.3">
      <c r="A1145" t="s">
        <v>15</v>
      </c>
      <c r="B1145" t="s">
        <v>244</v>
      </c>
      <c r="C1145" t="s">
        <v>245</v>
      </c>
      <c r="D1145">
        <v>1</v>
      </c>
      <c r="E1145" t="s">
        <v>43</v>
      </c>
      <c r="F1145" t="s">
        <v>44</v>
      </c>
      <c r="G1145">
        <v>78</v>
      </c>
      <c r="H1145">
        <v>0</v>
      </c>
      <c r="I1145">
        <v>78</v>
      </c>
      <c r="J1145">
        <f t="shared" si="51"/>
        <v>0</v>
      </c>
      <c r="K1145" t="s">
        <v>20</v>
      </c>
      <c r="L1145">
        <f t="shared" si="52"/>
        <v>1</v>
      </c>
      <c r="M1145">
        <v>8</v>
      </c>
      <c r="N1145">
        <v>1</v>
      </c>
      <c r="O1145">
        <f t="shared" si="53"/>
        <v>0</v>
      </c>
    </row>
    <row r="1146" spans="1:15" x14ac:dyDescent="0.3">
      <c r="A1146" t="s">
        <v>15</v>
      </c>
      <c r="B1146" t="s">
        <v>244</v>
      </c>
      <c r="C1146" t="s">
        <v>245</v>
      </c>
      <c r="D1146">
        <v>1</v>
      </c>
      <c r="E1146" t="s">
        <v>45</v>
      </c>
      <c r="F1146" t="s">
        <v>46</v>
      </c>
      <c r="G1146">
        <v>25</v>
      </c>
      <c r="H1146">
        <v>36</v>
      </c>
      <c r="I1146">
        <v>61</v>
      </c>
      <c r="J1146">
        <f t="shared" si="51"/>
        <v>-11</v>
      </c>
      <c r="K1146" t="s">
        <v>20</v>
      </c>
      <c r="L1146">
        <f t="shared" si="52"/>
        <v>1</v>
      </c>
      <c r="M1146">
        <v>6</v>
      </c>
      <c r="N1146">
        <v>1</v>
      </c>
      <c r="O1146">
        <f t="shared" si="53"/>
        <v>1</v>
      </c>
    </row>
    <row r="1147" spans="1:15" x14ac:dyDescent="0.3">
      <c r="A1147" t="s">
        <v>15</v>
      </c>
      <c r="B1147" t="s">
        <v>244</v>
      </c>
      <c r="C1147" t="s">
        <v>245</v>
      </c>
      <c r="D1147">
        <v>1</v>
      </c>
      <c r="E1147" t="s">
        <v>177</v>
      </c>
      <c r="F1147" t="s">
        <v>178</v>
      </c>
      <c r="G1147">
        <v>81</v>
      </c>
      <c r="H1147">
        <v>0</v>
      </c>
      <c r="I1147">
        <v>81</v>
      </c>
      <c r="J1147">
        <f t="shared" si="51"/>
        <v>0</v>
      </c>
      <c r="K1147" t="s">
        <v>20</v>
      </c>
      <c r="L1147">
        <f t="shared" si="52"/>
        <v>1</v>
      </c>
      <c r="M1147">
        <v>9</v>
      </c>
      <c r="N1147">
        <v>1</v>
      </c>
      <c r="O1147">
        <f t="shared" si="53"/>
        <v>0</v>
      </c>
    </row>
    <row r="1148" spans="1:15" x14ac:dyDescent="0.3">
      <c r="A1148" t="s">
        <v>15</v>
      </c>
      <c r="B1148" t="s">
        <v>244</v>
      </c>
      <c r="C1148" t="s">
        <v>245</v>
      </c>
      <c r="D1148">
        <v>1</v>
      </c>
      <c r="E1148" t="s">
        <v>49</v>
      </c>
      <c r="F1148" t="s">
        <v>50</v>
      </c>
      <c r="G1148">
        <v>90</v>
      </c>
      <c r="H1148">
        <v>0</v>
      </c>
      <c r="I1148">
        <v>90</v>
      </c>
      <c r="J1148">
        <f t="shared" si="51"/>
        <v>0</v>
      </c>
      <c r="K1148" t="s">
        <v>20</v>
      </c>
      <c r="L1148">
        <f t="shared" si="52"/>
        <v>1</v>
      </c>
      <c r="M1148">
        <v>9</v>
      </c>
      <c r="N1148">
        <v>1</v>
      </c>
      <c r="O1148">
        <f t="shared" si="53"/>
        <v>0</v>
      </c>
    </row>
    <row r="1149" spans="1:15" x14ac:dyDescent="0.3">
      <c r="A1149" t="s">
        <v>15</v>
      </c>
      <c r="B1149" t="s">
        <v>244</v>
      </c>
      <c r="C1149" t="s">
        <v>245</v>
      </c>
      <c r="D1149">
        <v>1</v>
      </c>
      <c r="E1149" t="s">
        <v>51</v>
      </c>
      <c r="F1149" t="s">
        <v>52</v>
      </c>
      <c r="G1149">
        <v>80</v>
      </c>
      <c r="H1149">
        <v>0</v>
      </c>
      <c r="I1149">
        <v>80</v>
      </c>
      <c r="J1149">
        <f t="shared" si="51"/>
        <v>0</v>
      </c>
      <c r="K1149" t="s">
        <v>20</v>
      </c>
      <c r="L1149">
        <f t="shared" si="52"/>
        <v>1</v>
      </c>
      <c r="M1149">
        <v>8</v>
      </c>
      <c r="N1149">
        <v>1</v>
      </c>
      <c r="O1149">
        <f t="shared" si="53"/>
        <v>0</v>
      </c>
    </row>
    <row r="1150" spans="1:15" x14ac:dyDescent="0.3">
      <c r="A1150" t="s">
        <v>15</v>
      </c>
      <c r="B1150" t="s">
        <v>244</v>
      </c>
      <c r="C1150" t="s">
        <v>245</v>
      </c>
      <c r="D1150">
        <v>1</v>
      </c>
      <c r="E1150" t="s">
        <v>53</v>
      </c>
      <c r="F1150" t="s">
        <v>54</v>
      </c>
      <c r="G1150">
        <v>38</v>
      </c>
      <c r="H1150">
        <v>26</v>
      </c>
      <c r="I1150">
        <v>64</v>
      </c>
      <c r="J1150">
        <f t="shared" si="51"/>
        <v>12</v>
      </c>
      <c r="K1150" t="s">
        <v>20</v>
      </c>
      <c r="L1150">
        <f t="shared" si="52"/>
        <v>1</v>
      </c>
      <c r="M1150">
        <v>7</v>
      </c>
      <c r="N1150">
        <v>4</v>
      </c>
      <c r="O1150">
        <f t="shared" si="53"/>
        <v>1</v>
      </c>
    </row>
    <row r="1151" spans="1:15" x14ac:dyDescent="0.3">
      <c r="A1151" t="s">
        <v>15</v>
      </c>
      <c r="B1151" t="s">
        <v>244</v>
      </c>
      <c r="C1151" t="s">
        <v>245</v>
      </c>
      <c r="D1151">
        <v>1</v>
      </c>
      <c r="E1151" t="s">
        <v>55</v>
      </c>
      <c r="F1151" t="s">
        <v>56</v>
      </c>
      <c r="G1151">
        <v>34</v>
      </c>
      <c r="H1151">
        <v>37</v>
      </c>
      <c r="I1151">
        <v>71</v>
      </c>
      <c r="J1151">
        <f t="shared" si="51"/>
        <v>-3</v>
      </c>
      <c r="K1151" t="s">
        <v>20</v>
      </c>
      <c r="L1151">
        <f t="shared" si="52"/>
        <v>1</v>
      </c>
      <c r="M1151">
        <v>7</v>
      </c>
      <c r="N1151">
        <v>3</v>
      </c>
      <c r="O1151">
        <f t="shared" si="53"/>
        <v>1</v>
      </c>
    </row>
    <row r="1152" spans="1:15" x14ac:dyDescent="0.3">
      <c r="A1152" t="s">
        <v>15</v>
      </c>
      <c r="B1152" t="s">
        <v>244</v>
      </c>
      <c r="C1152" t="s">
        <v>245</v>
      </c>
      <c r="D1152">
        <v>1</v>
      </c>
      <c r="E1152" t="s">
        <v>57</v>
      </c>
      <c r="F1152" t="s">
        <v>58</v>
      </c>
      <c r="G1152">
        <v>31</v>
      </c>
      <c r="H1152">
        <v>29</v>
      </c>
      <c r="I1152">
        <v>60</v>
      </c>
      <c r="J1152">
        <f t="shared" si="51"/>
        <v>2</v>
      </c>
      <c r="K1152" t="s">
        <v>20</v>
      </c>
      <c r="L1152">
        <f t="shared" si="52"/>
        <v>1</v>
      </c>
      <c r="M1152">
        <v>7</v>
      </c>
      <c r="N1152">
        <v>4</v>
      </c>
      <c r="O1152">
        <f t="shared" si="53"/>
        <v>1</v>
      </c>
    </row>
    <row r="1153" spans="1:15" x14ac:dyDescent="0.3">
      <c r="A1153" t="s">
        <v>15</v>
      </c>
      <c r="B1153" t="s">
        <v>248</v>
      </c>
      <c r="C1153" t="s">
        <v>249</v>
      </c>
      <c r="D1153">
        <v>2</v>
      </c>
      <c r="E1153" t="s">
        <v>35</v>
      </c>
      <c r="F1153" t="s">
        <v>36</v>
      </c>
      <c r="G1153">
        <v>17</v>
      </c>
      <c r="H1153">
        <v>30</v>
      </c>
      <c r="I1153">
        <v>47</v>
      </c>
      <c r="J1153">
        <f t="shared" si="51"/>
        <v>-13</v>
      </c>
      <c r="K1153" t="s">
        <v>87</v>
      </c>
      <c r="L1153">
        <f t="shared" si="52"/>
        <v>0</v>
      </c>
      <c r="M1153">
        <v>0</v>
      </c>
      <c r="N1153">
        <v>3</v>
      </c>
      <c r="O1153">
        <f t="shared" si="53"/>
        <v>1</v>
      </c>
    </row>
    <row r="1154" spans="1:15" x14ac:dyDescent="0.3">
      <c r="A1154" t="s">
        <v>15</v>
      </c>
      <c r="B1154" t="s">
        <v>248</v>
      </c>
      <c r="C1154" t="s">
        <v>249</v>
      </c>
      <c r="D1154">
        <v>2</v>
      </c>
      <c r="E1154" t="s">
        <v>18</v>
      </c>
      <c r="F1154" t="s">
        <v>19</v>
      </c>
      <c r="G1154">
        <v>40</v>
      </c>
      <c r="H1154">
        <v>33</v>
      </c>
      <c r="I1154">
        <v>73</v>
      </c>
      <c r="J1154">
        <f t="shared" ref="J1154:J1217" si="54">IF(H1154=0,0,G1154-H1154)</f>
        <v>7</v>
      </c>
      <c r="K1154" t="s">
        <v>20</v>
      </c>
      <c r="L1154">
        <f t="shared" ref="L1154:L1217" si="55">IF(K1154="Pass",1,0)</f>
        <v>1</v>
      </c>
      <c r="M1154">
        <v>8</v>
      </c>
      <c r="N1154">
        <v>4</v>
      </c>
      <c r="O1154">
        <f t="shared" ref="O1154:O1217" si="56">IF(H1154=0,0,1)</f>
        <v>1</v>
      </c>
    </row>
    <row r="1155" spans="1:15" x14ac:dyDescent="0.3">
      <c r="A1155" t="s">
        <v>15</v>
      </c>
      <c r="B1155" t="s">
        <v>248</v>
      </c>
      <c r="C1155" t="s">
        <v>249</v>
      </c>
      <c r="D1155">
        <v>2</v>
      </c>
      <c r="E1155" t="s">
        <v>21</v>
      </c>
      <c r="F1155" t="s">
        <v>22</v>
      </c>
      <c r="G1155">
        <v>38</v>
      </c>
      <c r="H1155">
        <v>24</v>
      </c>
      <c r="I1155">
        <v>62</v>
      </c>
      <c r="J1155">
        <f t="shared" si="54"/>
        <v>14</v>
      </c>
      <c r="K1155" t="s">
        <v>20</v>
      </c>
      <c r="L1155">
        <f t="shared" si="55"/>
        <v>1</v>
      </c>
      <c r="M1155">
        <v>7</v>
      </c>
      <c r="N1155">
        <v>4</v>
      </c>
      <c r="O1155">
        <f t="shared" si="56"/>
        <v>1</v>
      </c>
    </row>
    <row r="1156" spans="1:15" x14ac:dyDescent="0.3">
      <c r="A1156" t="s">
        <v>15</v>
      </c>
      <c r="B1156" t="s">
        <v>248</v>
      </c>
      <c r="C1156" t="s">
        <v>249</v>
      </c>
      <c r="D1156">
        <v>2</v>
      </c>
      <c r="E1156" t="s">
        <v>41</v>
      </c>
      <c r="F1156" t="s">
        <v>42</v>
      </c>
      <c r="G1156">
        <v>21</v>
      </c>
      <c r="H1156">
        <v>31</v>
      </c>
      <c r="I1156">
        <v>52</v>
      </c>
      <c r="J1156">
        <f t="shared" si="54"/>
        <v>-10</v>
      </c>
      <c r="K1156" t="s">
        <v>20</v>
      </c>
      <c r="L1156">
        <f t="shared" si="55"/>
        <v>1</v>
      </c>
      <c r="M1156">
        <v>6</v>
      </c>
      <c r="N1156">
        <v>3</v>
      </c>
      <c r="O1156">
        <f t="shared" si="56"/>
        <v>1</v>
      </c>
    </row>
    <row r="1157" spans="1:15" x14ac:dyDescent="0.3">
      <c r="A1157" t="s">
        <v>15</v>
      </c>
      <c r="B1157" t="s">
        <v>248</v>
      </c>
      <c r="C1157" t="s">
        <v>249</v>
      </c>
      <c r="D1157">
        <v>2</v>
      </c>
      <c r="E1157" t="s">
        <v>23</v>
      </c>
      <c r="F1157" t="s">
        <v>24</v>
      </c>
      <c r="G1157">
        <v>80</v>
      </c>
      <c r="H1157">
        <v>0</v>
      </c>
      <c r="I1157">
        <v>80</v>
      </c>
      <c r="J1157">
        <f t="shared" si="54"/>
        <v>0</v>
      </c>
      <c r="K1157" t="s">
        <v>20</v>
      </c>
      <c r="L1157">
        <f t="shared" si="55"/>
        <v>1</v>
      </c>
      <c r="M1157">
        <v>8</v>
      </c>
      <c r="N1157">
        <v>1</v>
      </c>
      <c r="O1157">
        <f t="shared" si="56"/>
        <v>0</v>
      </c>
    </row>
    <row r="1158" spans="1:15" x14ac:dyDescent="0.3">
      <c r="A1158" t="s">
        <v>15</v>
      </c>
      <c r="B1158" t="s">
        <v>248</v>
      </c>
      <c r="C1158" t="s">
        <v>249</v>
      </c>
      <c r="D1158">
        <v>2</v>
      </c>
      <c r="E1158" t="s">
        <v>25</v>
      </c>
      <c r="F1158" t="s">
        <v>26</v>
      </c>
      <c r="G1158">
        <v>38</v>
      </c>
      <c r="H1158">
        <v>31</v>
      </c>
      <c r="I1158">
        <v>69</v>
      </c>
      <c r="J1158">
        <f t="shared" si="54"/>
        <v>7</v>
      </c>
      <c r="K1158" t="s">
        <v>20</v>
      </c>
      <c r="L1158">
        <f t="shared" si="55"/>
        <v>1</v>
      </c>
      <c r="M1158">
        <v>7</v>
      </c>
      <c r="N1158">
        <v>1</v>
      </c>
      <c r="O1158">
        <f t="shared" si="56"/>
        <v>1</v>
      </c>
    </row>
    <row r="1159" spans="1:15" x14ac:dyDescent="0.3">
      <c r="A1159" t="s">
        <v>15</v>
      </c>
      <c r="B1159" t="s">
        <v>248</v>
      </c>
      <c r="C1159" t="s">
        <v>249</v>
      </c>
      <c r="D1159">
        <v>2</v>
      </c>
      <c r="E1159" t="s">
        <v>27</v>
      </c>
      <c r="F1159" t="s">
        <v>28</v>
      </c>
      <c r="G1159">
        <v>26</v>
      </c>
      <c r="H1159">
        <v>45</v>
      </c>
      <c r="I1159">
        <v>71</v>
      </c>
      <c r="J1159">
        <f t="shared" si="54"/>
        <v>-19</v>
      </c>
      <c r="K1159" t="s">
        <v>20</v>
      </c>
      <c r="L1159">
        <f t="shared" si="55"/>
        <v>1</v>
      </c>
      <c r="M1159">
        <v>7</v>
      </c>
      <c r="N1159">
        <v>2</v>
      </c>
      <c r="O1159">
        <f t="shared" si="56"/>
        <v>1</v>
      </c>
    </row>
    <row r="1160" spans="1:15" x14ac:dyDescent="0.3">
      <c r="A1160" t="s">
        <v>15</v>
      </c>
      <c r="B1160" t="s">
        <v>248</v>
      </c>
      <c r="C1160" t="s">
        <v>249</v>
      </c>
      <c r="D1160">
        <v>2</v>
      </c>
      <c r="E1160" t="s">
        <v>117</v>
      </c>
      <c r="F1160" t="s">
        <v>118</v>
      </c>
      <c r="G1160">
        <v>79</v>
      </c>
      <c r="H1160">
        <v>0</v>
      </c>
      <c r="I1160">
        <v>79</v>
      </c>
      <c r="J1160">
        <f t="shared" si="54"/>
        <v>0</v>
      </c>
      <c r="K1160" t="s">
        <v>20</v>
      </c>
      <c r="L1160">
        <f t="shared" si="55"/>
        <v>1</v>
      </c>
      <c r="M1160">
        <v>8</v>
      </c>
      <c r="N1160">
        <v>1</v>
      </c>
      <c r="O1160">
        <f t="shared" si="56"/>
        <v>0</v>
      </c>
    </row>
    <row r="1161" spans="1:15" x14ac:dyDescent="0.3">
      <c r="A1161" t="s">
        <v>15</v>
      </c>
      <c r="B1161" t="s">
        <v>248</v>
      </c>
      <c r="C1161" t="s">
        <v>249</v>
      </c>
      <c r="D1161">
        <v>2</v>
      </c>
      <c r="E1161" t="s">
        <v>31</v>
      </c>
      <c r="F1161" t="s">
        <v>32</v>
      </c>
      <c r="G1161">
        <v>92</v>
      </c>
      <c r="H1161">
        <v>0</v>
      </c>
      <c r="I1161">
        <v>92</v>
      </c>
      <c r="J1161">
        <f t="shared" si="54"/>
        <v>0</v>
      </c>
      <c r="K1161" t="s">
        <v>20</v>
      </c>
      <c r="L1161">
        <f t="shared" si="55"/>
        <v>1</v>
      </c>
      <c r="M1161">
        <v>10</v>
      </c>
      <c r="N1161">
        <v>1</v>
      </c>
      <c r="O1161">
        <f t="shared" si="56"/>
        <v>0</v>
      </c>
    </row>
    <row r="1162" spans="1:15" x14ac:dyDescent="0.3">
      <c r="A1162" t="s">
        <v>15</v>
      </c>
      <c r="B1162" t="s">
        <v>248</v>
      </c>
      <c r="C1162" t="s">
        <v>249</v>
      </c>
      <c r="D1162">
        <v>2</v>
      </c>
      <c r="E1162" t="s">
        <v>33</v>
      </c>
      <c r="F1162" t="s">
        <v>34</v>
      </c>
      <c r="G1162">
        <v>35</v>
      </c>
      <c r="H1162">
        <v>23</v>
      </c>
      <c r="I1162">
        <v>58</v>
      </c>
      <c r="J1162">
        <f t="shared" si="54"/>
        <v>12</v>
      </c>
      <c r="K1162" t="s">
        <v>20</v>
      </c>
      <c r="L1162">
        <f t="shared" si="55"/>
        <v>1</v>
      </c>
      <c r="M1162">
        <v>7</v>
      </c>
      <c r="N1162">
        <v>4</v>
      </c>
      <c r="O1162">
        <f t="shared" si="56"/>
        <v>1</v>
      </c>
    </row>
    <row r="1163" spans="1:15" x14ac:dyDescent="0.3">
      <c r="A1163" t="s">
        <v>15</v>
      </c>
      <c r="B1163" t="s">
        <v>248</v>
      </c>
      <c r="C1163" t="s">
        <v>249</v>
      </c>
      <c r="D1163">
        <v>2</v>
      </c>
      <c r="E1163" t="s">
        <v>37</v>
      </c>
      <c r="F1163" t="s">
        <v>38</v>
      </c>
      <c r="G1163">
        <v>25</v>
      </c>
      <c r="H1163">
        <v>40</v>
      </c>
      <c r="I1163">
        <v>65</v>
      </c>
      <c r="J1163">
        <f t="shared" si="54"/>
        <v>-15</v>
      </c>
      <c r="K1163" t="s">
        <v>20</v>
      </c>
      <c r="L1163">
        <f t="shared" si="55"/>
        <v>1</v>
      </c>
      <c r="M1163">
        <v>7</v>
      </c>
      <c r="N1163">
        <v>3</v>
      </c>
      <c r="O1163">
        <f t="shared" si="56"/>
        <v>1</v>
      </c>
    </row>
    <row r="1164" spans="1:15" x14ac:dyDescent="0.3">
      <c r="A1164" t="s">
        <v>15</v>
      </c>
      <c r="B1164" t="s">
        <v>248</v>
      </c>
      <c r="C1164" t="s">
        <v>249</v>
      </c>
      <c r="D1164">
        <v>1</v>
      </c>
      <c r="E1164" t="s">
        <v>39</v>
      </c>
      <c r="F1164" t="s">
        <v>40</v>
      </c>
      <c r="G1164">
        <v>92</v>
      </c>
      <c r="H1164">
        <v>0</v>
      </c>
      <c r="I1164">
        <v>92</v>
      </c>
      <c r="J1164">
        <f t="shared" si="54"/>
        <v>0</v>
      </c>
      <c r="K1164" t="s">
        <v>20</v>
      </c>
      <c r="L1164">
        <f t="shared" si="55"/>
        <v>1</v>
      </c>
      <c r="M1164">
        <v>10</v>
      </c>
      <c r="N1164">
        <v>1</v>
      </c>
      <c r="O1164">
        <f t="shared" si="56"/>
        <v>0</v>
      </c>
    </row>
    <row r="1165" spans="1:15" x14ac:dyDescent="0.3">
      <c r="A1165" t="s">
        <v>15</v>
      </c>
      <c r="B1165" t="s">
        <v>248</v>
      </c>
      <c r="C1165" t="s">
        <v>249</v>
      </c>
      <c r="D1165">
        <v>1</v>
      </c>
      <c r="E1165" t="s">
        <v>41</v>
      </c>
      <c r="F1165" t="s">
        <v>42</v>
      </c>
      <c r="G1165">
        <v>21</v>
      </c>
      <c r="H1165">
        <v>11</v>
      </c>
      <c r="I1165">
        <v>32</v>
      </c>
      <c r="J1165">
        <f t="shared" si="54"/>
        <v>10</v>
      </c>
      <c r="K1165" t="s">
        <v>87</v>
      </c>
      <c r="L1165">
        <f t="shared" si="55"/>
        <v>0</v>
      </c>
      <c r="M1165">
        <v>0</v>
      </c>
      <c r="N1165">
        <v>3</v>
      </c>
      <c r="O1165">
        <f t="shared" si="56"/>
        <v>1</v>
      </c>
    </row>
    <row r="1166" spans="1:15" x14ac:dyDescent="0.3">
      <c r="A1166" t="s">
        <v>15</v>
      </c>
      <c r="B1166" t="s">
        <v>248</v>
      </c>
      <c r="C1166" t="s">
        <v>249</v>
      </c>
      <c r="D1166">
        <v>1</v>
      </c>
      <c r="E1166" t="s">
        <v>43</v>
      </c>
      <c r="F1166" t="s">
        <v>44</v>
      </c>
      <c r="G1166">
        <v>83</v>
      </c>
      <c r="H1166">
        <v>0</v>
      </c>
      <c r="I1166">
        <v>83</v>
      </c>
      <c r="J1166">
        <f t="shared" si="54"/>
        <v>0</v>
      </c>
      <c r="K1166" t="s">
        <v>20</v>
      </c>
      <c r="L1166">
        <f t="shared" si="55"/>
        <v>1</v>
      </c>
      <c r="M1166">
        <v>9</v>
      </c>
      <c r="N1166">
        <v>1</v>
      </c>
      <c r="O1166">
        <f t="shared" si="56"/>
        <v>0</v>
      </c>
    </row>
    <row r="1167" spans="1:15" x14ac:dyDescent="0.3">
      <c r="A1167" t="s">
        <v>15</v>
      </c>
      <c r="B1167" t="s">
        <v>248</v>
      </c>
      <c r="C1167" t="s">
        <v>249</v>
      </c>
      <c r="D1167">
        <v>1</v>
      </c>
      <c r="E1167" t="s">
        <v>45</v>
      </c>
      <c r="F1167" t="s">
        <v>46</v>
      </c>
      <c r="G1167">
        <v>28</v>
      </c>
      <c r="H1167">
        <v>42</v>
      </c>
      <c r="I1167">
        <v>70</v>
      </c>
      <c r="J1167">
        <f t="shared" si="54"/>
        <v>-14</v>
      </c>
      <c r="K1167" t="s">
        <v>20</v>
      </c>
      <c r="L1167">
        <f t="shared" si="55"/>
        <v>1</v>
      </c>
      <c r="M1167">
        <v>7</v>
      </c>
      <c r="N1167">
        <v>1</v>
      </c>
      <c r="O1167">
        <f t="shared" si="56"/>
        <v>1</v>
      </c>
    </row>
    <row r="1168" spans="1:15" x14ac:dyDescent="0.3">
      <c r="A1168" t="s">
        <v>15</v>
      </c>
      <c r="B1168" t="s">
        <v>248</v>
      </c>
      <c r="C1168" t="s">
        <v>249</v>
      </c>
      <c r="D1168">
        <v>1</v>
      </c>
      <c r="E1168" t="s">
        <v>236</v>
      </c>
      <c r="F1168" t="s">
        <v>237</v>
      </c>
      <c r="G1168">
        <v>87</v>
      </c>
      <c r="H1168">
        <v>0</v>
      </c>
      <c r="I1168">
        <v>87</v>
      </c>
      <c r="J1168">
        <f t="shared" si="54"/>
        <v>0</v>
      </c>
      <c r="K1168" t="s">
        <v>20</v>
      </c>
      <c r="L1168">
        <f t="shared" si="55"/>
        <v>1</v>
      </c>
      <c r="M1168">
        <v>9</v>
      </c>
      <c r="N1168">
        <v>1</v>
      </c>
      <c r="O1168">
        <f t="shared" si="56"/>
        <v>0</v>
      </c>
    </row>
    <row r="1169" spans="1:15" x14ac:dyDescent="0.3">
      <c r="A1169" t="s">
        <v>15</v>
      </c>
      <c r="B1169" t="s">
        <v>248</v>
      </c>
      <c r="C1169" t="s">
        <v>249</v>
      </c>
      <c r="D1169">
        <v>1</v>
      </c>
      <c r="E1169" t="s">
        <v>49</v>
      </c>
      <c r="F1169" t="s">
        <v>50</v>
      </c>
      <c r="G1169">
        <v>100</v>
      </c>
      <c r="H1169">
        <v>0</v>
      </c>
      <c r="I1169">
        <v>100</v>
      </c>
      <c r="J1169">
        <f t="shared" si="54"/>
        <v>0</v>
      </c>
      <c r="K1169" t="s">
        <v>20</v>
      </c>
      <c r="L1169">
        <f t="shared" si="55"/>
        <v>1</v>
      </c>
      <c r="M1169">
        <v>10</v>
      </c>
      <c r="N1169">
        <v>1</v>
      </c>
      <c r="O1169">
        <f t="shared" si="56"/>
        <v>0</v>
      </c>
    </row>
    <row r="1170" spans="1:15" x14ac:dyDescent="0.3">
      <c r="A1170" t="s">
        <v>15</v>
      </c>
      <c r="B1170" t="s">
        <v>248</v>
      </c>
      <c r="C1170" t="s">
        <v>249</v>
      </c>
      <c r="D1170">
        <v>1</v>
      </c>
      <c r="E1170" t="s">
        <v>51</v>
      </c>
      <c r="F1170" t="s">
        <v>52</v>
      </c>
      <c r="G1170">
        <v>85</v>
      </c>
      <c r="H1170">
        <v>0</v>
      </c>
      <c r="I1170">
        <v>85</v>
      </c>
      <c r="J1170">
        <f t="shared" si="54"/>
        <v>0</v>
      </c>
      <c r="K1170" t="s">
        <v>20</v>
      </c>
      <c r="L1170">
        <f t="shared" si="55"/>
        <v>1</v>
      </c>
      <c r="M1170">
        <v>9</v>
      </c>
      <c r="N1170">
        <v>1</v>
      </c>
      <c r="O1170">
        <f t="shared" si="56"/>
        <v>0</v>
      </c>
    </row>
    <row r="1171" spans="1:15" x14ac:dyDescent="0.3">
      <c r="A1171" t="s">
        <v>15</v>
      </c>
      <c r="B1171" t="s">
        <v>248</v>
      </c>
      <c r="C1171" t="s">
        <v>249</v>
      </c>
      <c r="D1171">
        <v>1</v>
      </c>
      <c r="E1171" t="s">
        <v>53</v>
      </c>
      <c r="F1171" t="s">
        <v>54</v>
      </c>
      <c r="G1171">
        <v>39</v>
      </c>
      <c r="H1171">
        <v>37</v>
      </c>
      <c r="I1171">
        <v>76</v>
      </c>
      <c r="J1171">
        <f t="shared" si="54"/>
        <v>2</v>
      </c>
      <c r="K1171" t="s">
        <v>20</v>
      </c>
      <c r="L1171">
        <f t="shared" si="55"/>
        <v>1</v>
      </c>
      <c r="M1171">
        <v>8</v>
      </c>
      <c r="N1171">
        <v>4</v>
      </c>
      <c r="O1171">
        <f t="shared" si="56"/>
        <v>1</v>
      </c>
    </row>
    <row r="1172" spans="1:15" x14ac:dyDescent="0.3">
      <c r="A1172" t="s">
        <v>15</v>
      </c>
      <c r="B1172" t="s">
        <v>248</v>
      </c>
      <c r="C1172" t="s">
        <v>249</v>
      </c>
      <c r="D1172">
        <v>1</v>
      </c>
      <c r="E1172" t="s">
        <v>55</v>
      </c>
      <c r="F1172" t="s">
        <v>56</v>
      </c>
      <c r="G1172">
        <v>40</v>
      </c>
      <c r="H1172">
        <v>34</v>
      </c>
      <c r="I1172">
        <v>74</v>
      </c>
      <c r="J1172">
        <f t="shared" si="54"/>
        <v>6</v>
      </c>
      <c r="K1172" t="s">
        <v>20</v>
      </c>
      <c r="L1172">
        <f t="shared" si="55"/>
        <v>1</v>
      </c>
      <c r="M1172">
        <v>8</v>
      </c>
      <c r="N1172">
        <v>3</v>
      </c>
      <c r="O1172">
        <f t="shared" si="56"/>
        <v>1</v>
      </c>
    </row>
    <row r="1173" spans="1:15" x14ac:dyDescent="0.3">
      <c r="A1173" t="s">
        <v>15</v>
      </c>
      <c r="B1173" t="s">
        <v>248</v>
      </c>
      <c r="C1173" t="s">
        <v>249</v>
      </c>
      <c r="D1173">
        <v>1</v>
      </c>
      <c r="E1173" t="s">
        <v>57</v>
      </c>
      <c r="F1173" t="s">
        <v>58</v>
      </c>
      <c r="G1173">
        <v>32</v>
      </c>
      <c r="H1173">
        <v>28</v>
      </c>
      <c r="I1173">
        <v>60</v>
      </c>
      <c r="J1173">
        <f t="shared" si="54"/>
        <v>4</v>
      </c>
      <c r="K1173" t="s">
        <v>20</v>
      </c>
      <c r="L1173">
        <f t="shared" si="55"/>
        <v>1</v>
      </c>
      <c r="M1173">
        <v>7</v>
      </c>
      <c r="N1173">
        <v>4</v>
      </c>
      <c r="O1173">
        <f t="shared" si="56"/>
        <v>1</v>
      </c>
    </row>
    <row r="1174" spans="1:15" x14ac:dyDescent="0.3">
      <c r="A1174" t="s">
        <v>15</v>
      </c>
      <c r="B1174" t="s">
        <v>250</v>
      </c>
      <c r="C1174" t="s">
        <v>251</v>
      </c>
      <c r="D1174">
        <v>2</v>
      </c>
      <c r="E1174" t="s">
        <v>18</v>
      </c>
      <c r="F1174" t="s">
        <v>19</v>
      </c>
      <c r="G1174">
        <v>45</v>
      </c>
      <c r="H1174">
        <v>33</v>
      </c>
      <c r="I1174">
        <v>78</v>
      </c>
      <c r="J1174">
        <f t="shared" si="54"/>
        <v>12</v>
      </c>
      <c r="K1174" t="s">
        <v>20</v>
      </c>
      <c r="L1174">
        <f t="shared" si="55"/>
        <v>1</v>
      </c>
      <c r="M1174">
        <v>8</v>
      </c>
      <c r="N1174">
        <v>4</v>
      </c>
      <c r="O1174">
        <f t="shared" si="56"/>
        <v>1</v>
      </c>
    </row>
    <row r="1175" spans="1:15" x14ac:dyDescent="0.3">
      <c r="A1175" t="s">
        <v>15</v>
      </c>
      <c r="B1175" t="s">
        <v>250</v>
      </c>
      <c r="C1175" t="s">
        <v>251</v>
      </c>
      <c r="D1175">
        <v>2</v>
      </c>
      <c r="E1175" t="s">
        <v>21</v>
      </c>
      <c r="F1175" t="s">
        <v>22</v>
      </c>
      <c r="G1175">
        <v>41</v>
      </c>
      <c r="H1175">
        <v>30</v>
      </c>
      <c r="I1175">
        <v>71</v>
      </c>
      <c r="J1175">
        <f t="shared" si="54"/>
        <v>11</v>
      </c>
      <c r="K1175" t="s">
        <v>20</v>
      </c>
      <c r="L1175">
        <f t="shared" si="55"/>
        <v>1</v>
      </c>
      <c r="M1175">
        <v>7</v>
      </c>
      <c r="N1175">
        <v>4</v>
      </c>
      <c r="O1175">
        <f t="shared" si="56"/>
        <v>1</v>
      </c>
    </row>
    <row r="1176" spans="1:15" x14ac:dyDescent="0.3">
      <c r="A1176" t="s">
        <v>15</v>
      </c>
      <c r="B1176" t="s">
        <v>250</v>
      </c>
      <c r="C1176" t="s">
        <v>251</v>
      </c>
      <c r="D1176">
        <v>2</v>
      </c>
      <c r="E1176" t="s">
        <v>113</v>
      </c>
      <c r="F1176" t="s">
        <v>114</v>
      </c>
      <c r="G1176">
        <v>53</v>
      </c>
      <c r="H1176">
        <v>34</v>
      </c>
      <c r="I1176">
        <v>87</v>
      </c>
      <c r="J1176">
        <f t="shared" si="54"/>
        <v>19</v>
      </c>
      <c r="K1176" t="s">
        <v>20</v>
      </c>
      <c r="L1176">
        <f t="shared" si="55"/>
        <v>1</v>
      </c>
      <c r="M1176">
        <v>9</v>
      </c>
      <c r="N1176">
        <v>2</v>
      </c>
      <c r="O1176">
        <f t="shared" si="56"/>
        <v>1</v>
      </c>
    </row>
    <row r="1177" spans="1:15" x14ac:dyDescent="0.3">
      <c r="A1177" t="s">
        <v>15</v>
      </c>
      <c r="B1177" t="s">
        <v>250</v>
      </c>
      <c r="C1177" t="s">
        <v>251</v>
      </c>
      <c r="D1177">
        <v>2</v>
      </c>
      <c r="E1177" t="s">
        <v>23</v>
      </c>
      <c r="F1177" t="s">
        <v>24</v>
      </c>
      <c r="G1177">
        <v>86</v>
      </c>
      <c r="H1177">
        <v>0</v>
      </c>
      <c r="I1177">
        <v>86</v>
      </c>
      <c r="J1177">
        <f t="shared" si="54"/>
        <v>0</v>
      </c>
      <c r="K1177" t="s">
        <v>20</v>
      </c>
      <c r="L1177">
        <f t="shared" si="55"/>
        <v>1</v>
      </c>
      <c r="M1177">
        <v>9</v>
      </c>
      <c r="N1177">
        <v>1</v>
      </c>
      <c r="O1177">
        <f t="shared" si="56"/>
        <v>0</v>
      </c>
    </row>
    <row r="1178" spans="1:15" x14ac:dyDescent="0.3">
      <c r="A1178" t="s">
        <v>15</v>
      </c>
      <c r="B1178" t="s">
        <v>250</v>
      </c>
      <c r="C1178" t="s">
        <v>251</v>
      </c>
      <c r="D1178">
        <v>2</v>
      </c>
      <c r="E1178" t="s">
        <v>25</v>
      </c>
      <c r="F1178" t="s">
        <v>26</v>
      </c>
      <c r="G1178">
        <v>35</v>
      </c>
      <c r="H1178">
        <v>30</v>
      </c>
      <c r="I1178">
        <v>65</v>
      </c>
      <c r="J1178">
        <f t="shared" si="54"/>
        <v>5</v>
      </c>
      <c r="K1178" t="s">
        <v>20</v>
      </c>
      <c r="L1178">
        <f t="shared" si="55"/>
        <v>1</v>
      </c>
      <c r="M1178">
        <v>7</v>
      </c>
      <c r="N1178">
        <v>1</v>
      </c>
      <c r="O1178">
        <f t="shared" si="56"/>
        <v>1</v>
      </c>
    </row>
    <row r="1179" spans="1:15" x14ac:dyDescent="0.3">
      <c r="A1179" t="s">
        <v>15</v>
      </c>
      <c r="B1179" t="s">
        <v>250</v>
      </c>
      <c r="C1179" t="s">
        <v>251</v>
      </c>
      <c r="D1179">
        <v>2</v>
      </c>
      <c r="E1179" t="s">
        <v>145</v>
      </c>
      <c r="F1179" t="s">
        <v>146</v>
      </c>
      <c r="G1179">
        <v>91</v>
      </c>
      <c r="H1179">
        <v>0</v>
      </c>
      <c r="I1179">
        <v>91</v>
      </c>
      <c r="J1179">
        <f t="shared" si="54"/>
        <v>0</v>
      </c>
      <c r="K1179" t="s">
        <v>20</v>
      </c>
      <c r="L1179">
        <f t="shared" si="55"/>
        <v>1</v>
      </c>
      <c r="M1179">
        <v>10</v>
      </c>
      <c r="N1179">
        <v>1</v>
      </c>
      <c r="O1179">
        <f t="shared" si="56"/>
        <v>0</v>
      </c>
    </row>
    <row r="1180" spans="1:15" x14ac:dyDescent="0.3">
      <c r="A1180" t="s">
        <v>15</v>
      </c>
      <c r="B1180" t="s">
        <v>250</v>
      </c>
      <c r="C1180" t="s">
        <v>251</v>
      </c>
      <c r="D1180">
        <v>2</v>
      </c>
      <c r="E1180" t="s">
        <v>31</v>
      </c>
      <c r="F1180" t="s">
        <v>32</v>
      </c>
      <c r="G1180">
        <v>92</v>
      </c>
      <c r="H1180">
        <v>0</v>
      </c>
      <c r="I1180">
        <v>92</v>
      </c>
      <c r="J1180">
        <f t="shared" si="54"/>
        <v>0</v>
      </c>
      <c r="K1180" t="s">
        <v>20</v>
      </c>
      <c r="L1180">
        <f t="shared" si="55"/>
        <v>1</v>
      </c>
      <c r="M1180">
        <v>10</v>
      </c>
      <c r="N1180">
        <v>1</v>
      </c>
      <c r="O1180">
        <f t="shared" si="56"/>
        <v>0</v>
      </c>
    </row>
    <row r="1181" spans="1:15" x14ac:dyDescent="0.3">
      <c r="A1181" t="s">
        <v>15</v>
      </c>
      <c r="B1181" t="s">
        <v>250</v>
      </c>
      <c r="C1181" t="s">
        <v>251</v>
      </c>
      <c r="D1181">
        <v>2</v>
      </c>
      <c r="E1181" t="s">
        <v>33</v>
      </c>
      <c r="F1181" t="s">
        <v>34</v>
      </c>
      <c r="G1181">
        <v>39</v>
      </c>
      <c r="H1181">
        <v>27</v>
      </c>
      <c r="I1181">
        <v>66</v>
      </c>
      <c r="J1181">
        <f t="shared" si="54"/>
        <v>12</v>
      </c>
      <c r="K1181" t="s">
        <v>20</v>
      </c>
      <c r="L1181">
        <f t="shared" si="55"/>
        <v>1</v>
      </c>
      <c r="M1181">
        <v>7</v>
      </c>
      <c r="N1181">
        <v>4</v>
      </c>
      <c r="O1181">
        <f t="shared" si="56"/>
        <v>1</v>
      </c>
    </row>
    <row r="1182" spans="1:15" x14ac:dyDescent="0.3">
      <c r="A1182" t="s">
        <v>15</v>
      </c>
      <c r="B1182" t="s">
        <v>250</v>
      </c>
      <c r="C1182" t="s">
        <v>251</v>
      </c>
      <c r="D1182">
        <v>2</v>
      </c>
      <c r="E1182" t="s">
        <v>35</v>
      </c>
      <c r="F1182" t="s">
        <v>36</v>
      </c>
      <c r="G1182">
        <v>27</v>
      </c>
      <c r="H1182">
        <v>38</v>
      </c>
      <c r="I1182">
        <v>65</v>
      </c>
      <c r="J1182">
        <f t="shared" si="54"/>
        <v>-11</v>
      </c>
      <c r="K1182" t="s">
        <v>20</v>
      </c>
      <c r="L1182">
        <f t="shared" si="55"/>
        <v>1</v>
      </c>
      <c r="M1182">
        <v>7</v>
      </c>
      <c r="N1182">
        <v>3</v>
      </c>
      <c r="O1182">
        <f t="shared" si="56"/>
        <v>1</v>
      </c>
    </row>
    <row r="1183" spans="1:15" x14ac:dyDescent="0.3">
      <c r="A1183" t="s">
        <v>15</v>
      </c>
      <c r="B1183" t="s">
        <v>250</v>
      </c>
      <c r="C1183" t="s">
        <v>251</v>
      </c>
      <c r="D1183">
        <v>2</v>
      </c>
      <c r="E1183" t="s">
        <v>37</v>
      </c>
      <c r="F1183" t="s">
        <v>38</v>
      </c>
      <c r="G1183">
        <v>31</v>
      </c>
      <c r="H1183">
        <v>52</v>
      </c>
      <c r="I1183">
        <v>83</v>
      </c>
      <c r="J1183">
        <f t="shared" si="54"/>
        <v>-21</v>
      </c>
      <c r="K1183" t="s">
        <v>20</v>
      </c>
      <c r="L1183">
        <f t="shared" si="55"/>
        <v>1</v>
      </c>
      <c r="M1183">
        <v>8</v>
      </c>
      <c r="N1183">
        <v>3</v>
      </c>
      <c r="O1183">
        <f t="shared" si="56"/>
        <v>1</v>
      </c>
    </row>
    <row r="1184" spans="1:15" x14ac:dyDescent="0.3">
      <c r="A1184" t="s">
        <v>15</v>
      </c>
      <c r="B1184" t="s">
        <v>250</v>
      </c>
      <c r="C1184" t="s">
        <v>251</v>
      </c>
      <c r="D1184">
        <v>1</v>
      </c>
      <c r="E1184" t="s">
        <v>39</v>
      </c>
      <c r="F1184" t="s">
        <v>40</v>
      </c>
      <c r="G1184">
        <v>93</v>
      </c>
      <c r="H1184">
        <v>0</v>
      </c>
      <c r="I1184">
        <v>93</v>
      </c>
      <c r="J1184">
        <f t="shared" si="54"/>
        <v>0</v>
      </c>
      <c r="K1184" t="s">
        <v>20</v>
      </c>
      <c r="L1184">
        <f t="shared" si="55"/>
        <v>1</v>
      </c>
      <c r="M1184">
        <v>10</v>
      </c>
      <c r="N1184">
        <v>1</v>
      </c>
      <c r="O1184">
        <f t="shared" si="56"/>
        <v>0</v>
      </c>
    </row>
    <row r="1185" spans="1:15" x14ac:dyDescent="0.3">
      <c r="A1185" t="s">
        <v>15</v>
      </c>
      <c r="B1185" t="s">
        <v>250</v>
      </c>
      <c r="C1185" t="s">
        <v>251</v>
      </c>
      <c r="D1185">
        <v>1</v>
      </c>
      <c r="E1185" t="s">
        <v>41</v>
      </c>
      <c r="F1185" t="s">
        <v>42</v>
      </c>
      <c r="G1185">
        <v>23</v>
      </c>
      <c r="H1185">
        <v>30</v>
      </c>
      <c r="I1185">
        <v>53</v>
      </c>
      <c r="J1185">
        <f t="shared" si="54"/>
        <v>-7</v>
      </c>
      <c r="K1185" t="s">
        <v>20</v>
      </c>
      <c r="L1185">
        <f t="shared" si="55"/>
        <v>1</v>
      </c>
      <c r="M1185">
        <v>6</v>
      </c>
      <c r="N1185">
        <v>3</v>
      </c>
      <c r="O1185">
        <f t="shared" si="56"/>
        <v>1</v>
      </c>
    </row>
    <row r="1186" spans="1:15" x14ac:dyDescent="0.3">
      <c r="A1186" t="s">
        <v>15</v>
      </c>
      <c r="B1186" t="s">
        <v>250</v>
      </c>
      <c r="C1186" t="s">
        <v>251</v>
      </c>
      <c r="D1186">
        <v>1</v>
      </c>
      <c r="E1186" t="s">
        <v>43</v>
      </c>
      <c r="F1186" t="s">
        <v>44</v>
      </c>
      <c r="G1186">
        <v>50</v>
      </c>
      <c r="H1186">
        <v>0</v>
      </c>
      <c r="I1186">
        <v>50</v>
      </c>
      <c r="J1186">
        <f t="shared" si="54"/>
        <v>0</v>
      </c>
      <c r="K1186" t="s">
        <v>20</v>
      </c>
      <c r="L1186">
        <f t="shared" si="55"/>
        <v>1</v>
      </c>
      <c r="M1186">
        <v>5</v>
      </c>
      <c r="N1186">
        <v>1</v>
      </c>
      <c r="O1186">
        <f t="shared" si="56"/>
        <v>0</v>
      </c>
    </row>
    <row r="1187" spans="1:15" x14ac:dyDescent="0.3">
      <c r="A1187" t="s">
        <v>15</v>
      </c>
      <c r="B1187" t="s">
        <v>250</v>
      </c>
      <c r="C1187" t="s">
        <v>251</v>
      </c>
      <c r="D1187">
        <v>1</v>
      </c>
      <c r="E1187" t="s">
        <v>45</v>
      </c>
      <c r="F1187" t="s">
        <v>46</v>
      </c>
      <c r="G1187">
        <v>27</v>
      </c>
      <c r="H1187">
        <v>38</v>
      </c>
      <c r="I1187">
        <v>65</v>
      </c>
      <c r="J1187">
        <f t="shared" si="54"/>
        <v>-11</v>
      </c>
      <c r="K1187" t="s">
        <v>20</v>
      </c>
      <c r="L1187">
        <f t="shared" si="55"/>
        <v>1</v>
      </c>
      <c r="M1187">
        <v>7</v>
      </c>
      <c r="N1187">
        <v>1</v>
      </c>
      <c r="O1187">
        <f t="shared" si="56"/>
        <v>1</v>
      </c>
    </row>
    <row r="1188" spans="1:15" x14ac:dyDescent="0.3">
      <c r="A1188" t="s">
        <v>15</v>
      </c>
      <c r="B1188" t="s">
        <v>250</v>
      </c>
      <c r="C1188" t="s">
        <v>251</v>
      </c>
      <c r="D1188">
        <v>1</v>
      </c>
      <c r="E1188" t="s">
        <v>177</v>
      </c>
      <c r="F1188" t="s">
        <v>178</v>
      </c>
      <c r="G1188">
        <v>82</v>
      </c>
      <c r="H1188">
        <v>0</v>
      </c>
      <c r="I1188">
        <v>82</v>
      </c>
      <c r="J1188">
        <f t="shared" si="54"/>
        <v>0</v>
      </c>
      <c r="K1188" t="s">
        <v>20</v>
      </c>
      <c r="L1188">
        <f t="shared" si="55"/>
        <v>1</v>
      </c>
      <c r="M1188">
        <v>9</v>
      </c>
      <c r="N1188">
        <v>1</v>
      </c>
      <c r="O1188">
        <f t="shared" si="56"/>
        <v>0</v>
      </c>
    </row>
    <row r="1189" spans="1:15" x14ac:dyDescent="0.3">
      <c r="A1189" t="s">
        <v>15</v>
      </c>
      <c r="B1189" t="s">
        <v>250</v>
      </c>
      <c r="C1189" t="s">
        <v>251</v>
      </c>
      <c r="D1189">
        <v>1</v>
      </c>
      <c r="E1189" t="s">
        <v>49</v>
      </c>
      <c r="F1189" t="s">
        <v>50</v>
      </c>
      <c r="G1189">
        <v>85</v>
      </c>
      <c r="H1189">
        <v>0</v>
      </c>
      <c r="I1189">
        <v>85</v>
      </c>
      <c r="J1189">
        <f t="shared" si="54"/>
        <v>0</v>
      </c>
      <c r="K1189" t="s">
        <v>20</v>
      </c>
      <c r="L1189">
        <f t="shared" si="55"/>
        <v>1</v>
      </c>
      <c r="M1189">
        <v>9</v>
      </c>
      <c r="N1189">
        <v>1</v>
      </c>
      <c r="O1189">
        <f t="shared" si="56"/>
        <v>0</v>
      </c>
    </row>
    <row r="1190" spans="1:15" x14ac:dyDescent="0.3">
      <c r="A1190" t="s">
        <v>15</v>
      </c>
      <c r="B1190" t="s">
        <v>250</v>
      </c>
      <c r="C1190" t="s">
        <v>251</v>
      </c>
      <c r="D1190">
        <v>1</v>
      </c>
      <c r="E1190" t="s">
        <v>51</v>
      </c>
      <c r="F1190" t="s">
        <v>52</v>
      </c>
      <c r="G1190">
        <v>92</v>
      </c>
      <c r="H1190">
        <v>0</v>
      </c>
      <c r="I1190">
        <v>92</v>
      </c>
      <c r="J1190">
        <f t="shared" si="54"/>
        <v>0</v>
      </c>
      <c r="K1190" t="s">
        <v>20</v>
      </c>
      <c r="L1190">
        <f t="shared" si="55"/>
        <v>1</v>
      </c>
      <c r="M1190">
        <v>10</v>
      </c>
      <c r="N1190">
        <v>1</v>
      </c>
      <c r="O1190">
        <f t="shared" si="56"/>
        <v>0</v>
      </c>
    </row>
    <row r="1191" spans="1:15" x14ac:dyDescent="0.3">
      <c r="A1191" t="s">
        <v>15</v>
      </c>
      <c r="B1191" t="s">
        <v>250</v>
      </c>
      <c r="C1191" t="s">
        <v>251</v>
      </c>
      <c r="D1191">
        <v>1</v>
      </c>
      <c r="E1191" t="s">
        <v>53</v>
      </c>
      <c r="F1191" t="s">
        <v>54</v>
      </c>
      <c r="G1191">
        <v>40</v>
      </c>
      <c r="H1191">
        <v>29</v>
      </c>
      <c r="I1191">
        <v>69</v>
      </c>
      <c r="J1191">
        <f t="shared" si="54"/>
        <v>11</v>
      </c>
      <c r="K1191" t="s">
        <v>20</v>
      </c>
      <c r="L1191">
        <f t="shared" si="55"/>
        <v>1</v>
      </c>
      <c r="M1191">
        <v>7</v>
      </c>
      <c r="N1191">
        <v>4</v>
      </c>
      <c r="O1191">
        <f t="shared" si="56"/>
        <v>1</v>
      </c>
    </row>
    <row r="1192" spans="1:15" x14ac:dyDescent="0.3">
      <c r="A1192" t="s">
        <v>15</v>
      </c>
      <c r="B1192" t="s">
        <v>250</v>
      </c>
      <c r="C1192" t="s">
        <v>251</v>
      </c>
      <c r="D1192">
        <v>1</v>
      </c>
      <c r="E1192" t="s">
        <v>55</v>
      </c>
      <c r="F1192" t="s">
        <v>56</v>
      </c>
      <c r="G1192">
        <v>37</v>
      </c>
      <c r="H1192">
        <v>40</v>
      </c>
      <c r="I1192">
        <v>77</v>
      </c>
      <c r="J1192">
        <f t="shared" si="54"/>
        <v>-3</v>
      </c>
      <c r="K1192" t="s">
        <v>20</v>
      </c>
      <c r="L1192">
        <f t="shared" si="55"/>
        <v>1</v>
      </c>
      <c r="M1192">
        <v>8</v>
      </c>
      <c r="N1192">
        <v>3</v>
      </c>
      <c r="O1192">
        <f t="shared" si="56"/>
        <v>1</v>
      </c>
    </row>
    <row r="1193" spans="1:15" x14ac:dyDescent="0.3">
      <c r="A1193" t="s">
        <v>15</v>
      </c>
      <c r="B1193" t="s">
        <v>250</v>
      </c>
      <c r="C1193" t="s">
        <v>251</v>
      </c>
      <c r="D1193">
        <v>1</v>
      </c>
      <c r="E1193" t="s">
        <v>57</v>
      </c>
      <c r="F1193" t="s">
        <v>58</v>
      </c>
      <c r="G1193">
        <v>37</v>
      </c>
      <c r="H1193">
        <v>37</v>
      </c>
      <c r="I1193">
        <v>74</v>
      </c>
      <c r="J1193">
        <f t="shared" si="54"/>
        <v>0</v>
      </c>
      <c r="K1193" t="s">
        <v>20</v>
      </c>
      <c r="L1193">
        <f t="shared" si="55"/>
        <v>1</v>
      </c>
      <c r="M1193">
        <v>8</v>
      </c>
      <c r="N1193">
        <v>4</v>
      </c>
      <c r="O1193">
        <f t="shared" si="56"/>
        <v>1</v>
      </c>
    </row>
    <row r="1194" spans="1:15" x14ac:dyDescent="0.3">
      <c r="A1194" t="s">
        <v>15</v>
      </c>
      <c r="B1194" t="s">
        <v>252</v>
      </c>
      <c r="C1194" t="s">
        <v>253</v>
      </c>
      <c r="D1194">
        <v>2</v>
      </c>
      <c r="E1194" t="s">
        <v>18</v>
      </c>
      <c r="F1194" t="s">
        <v>19</v>
      </c>
      <c r="G1194">
        <v>47</v>
      </c>
      <c r="H1194">
        <v>34</v>
      </c>
      <c r="I1194">
        <v>81</v>
      </c>
      <c r="J1194">
        <f t="shared" si="54"/>
        <v>13</v>
      </c>
      <c r="K1194" t="s">
        <v>20</v>
      </c>
      <c r="L1194">
        <f t="shared" si="55"/>
        <v>1</v>
      </c>
      <c r="M1194">
        <v>8</v>
      </c>
      <c r="N1194">
        <v>4</v>
      </c>
      <c r="O1194">
        <f t="shared" si="56"/>
        <v>1</v>
      </c>
    </row>
    <row r="1195" spans="1:15" x14ac:dyDescent="0.3">
      <c r="A1195" t="s">
        <v>15</v>
      </c>
      <c r="B1195" t="s">
        <v>252</v>
      </c>
      <c r="C1195" t="s">
        <v>253</v>
      </c>
      <c r="D1195">
        <v>2</v>
      </c>
      <c r="E1195" t="s">
        <v>21</v>
      </c>
      <c r="F1195" t="s">
        <v>22</v>
      </c>
      <c r="G1195">
        <v>42</v>
      </c>
      <c r="H1195">
        <v>31</v>
      </c>
      <c r="I1195">
        <v>73</v>
      </c>
      <c r="J1195">
        <f t="shared" si="54"/>
        <v>11</v>
      </c>
      <c r="K1195" t="s">
        <v>20</v>
      </c>
      <c r="L1195">
        <f t="shared" si="55"/>
        <v>1</v>
      </c>
      <c r="M1195">
        <v>7</v>
      </c>
      <c r="N1195">
        <v>4</v>
      </c>
      <c r="O1195">
        <f t="shared" si="56"/>
        <v>1</v>
      </c>
    </row>
    <row r="1196" spans="1:15" x14ac:dyDescent="0.3">
      <c r="A1196" t="s">
        <v>15</v>
      </c>
      <c r="B1196" t="s">
        <v>252</v>
      </c>
      <c r="C1196" t="s">
        <v>253</v>
      </c>
      <c r="D1196">
        <v>2</v>
      </c>
      <c r="E1196" t="s">
        <v>23</v>
      </c>
      <c r="F1196" t="s">
        <v>24</v>
      </c>
      <c r="G1196">
        <v>84</v>
      </c>
      <c r="H1196">
        <v>0</v>
      </c>
      <c r="I1196">
        <v>84</v>
      </c>
      <c r="J1196">
        <f t="shared" si="54"/>
        <v>0</v>
      </c>
      <c r="K1196" t="s">
        <v>20</v>
      </c>
      <c r="L1196">
        <f t="shared" si="55"/>
        <v>1</v>
      </c>
      <c r="M1196">
        <v>9</v>
      </c>
      <c r="N1196">
        <v>1</v>
      </c>
      <c r="O1196">
        <f t="shared" si="56"/>
        <v>0</v>
      </c>
    </row>
    <row r="1197" spans="1:15" x14ac:dyDescent="0.3">
      <c r="A1197" t="s">
        <v>15</v>
      </c>
      <c r="B1197" t="s">
        <v>252</v>
      </c>
      <c r="C1197" t="s">
        <v>253</v>
      </c>
      <c r="D1197">
        <v>2</v>
      </c>
      <c r="E1197" t="s">
        <v>25</v>
      </c>
      <c r="F1197" t="s">
        <v>26</v>
      </c>
      <c r="G1197">
        <v>41</v>
      </c>
      <c r="H1197">
        <v>36</v>
      </c>
      <c r="I1197">
        <v>77</v>
      </c>
      <c r="J1197">
        <f t="shared" si="54"/>
        <v>5</v>
      </c>
      <c r="K1197" t="s">
        <v>20</v>
      </c>
      <c r="L1197">
        <f t="shared" si="55"/>
        <v>1</v>
      </c>
      <c r="M1197">
        <v>8</v>
      </c>
      <c r="N1197">
        <v>1</v>
      </c>
      <c r="O1197">
        <f t="shared" si="56"/>
        <v>1</v>
      </c>
    </row>
    <row r="1198" spans="1:15" x14ac:dyDescent="0.3">
      <c r="A1198" t="s">
        <v>15</v>
      </c>
      <c r="B1198" t="s">
        <v>252</v>
      </c>
      <c r="C1198" t="s">
        <v>253</v>
      </c>
      <c r="D1198">
        <v>2</v>
      </c>
      <c r="E1198" t="s">
        <v>27</v>
      </c>
      <c r="F1198" t="s">
        <v>28</v>
      </c>
      <c r="G1198">
        <v>28</v>
      </c>
      <c r="H1198">
        <v>45</v>
      </c>
      <c r="I1198">
        <v>73</v>
      </c>
      <c r="J1198">
        <f t="shared" si="54"/>
        <v>-17</v>
      </c>
      <c r="K1198" t="s">
        <v>20</v>
      </c>
      <c r="L1198">
        <f t="shared" si="55"/>
        <v>1</v>
      </c>
      <c r="M1198">
        <v>7</v>
      </c>
      <c r="N1198">
        <v>2</v>
      </c>
      <c r="O1198">
        <f t="shared" si="56"/>
        <v>1</v>
      </c>
    </row>
    <row r="1199" spans="1:15" x14ac:dyDescent="0.3">
      <c r="A1199" t="s">
        <v>15</v>
      </c>
      <c r="B1199" t="s">
        <v>252</v>
      </c>
      <c r="C1199" t="s">
        <v>253</v>
      </c>
      <c r="D1199">
        <v>2</v>
      </c>
      <c r="E1199" t="s">
        <v>88</v>
      </c>
      <c r="F1199" t="s">
        <v>89</v>
      </c>
      <c r="G1199">
        <v>80</v>
      </c>
      <c r="H1199">
        <v>0</v>
      </c>
      <c r="I1199">
        <v>80</v>
      </c>
      <c r="J1199">
        <f t="shared" si="54"/>
        <v>0</v>
      </c>
      <c r="K1199" t="s">
        <v>20</v>
      </c>
      <c r="L1199">
        <f t="shared" si="55"/>
        <v>1</v>
      </c>
      <c r="M1199">
        <v>8</v>
      </c>
      <c r="N1199">
        <v>1</v>
      </c>
      <c r="O1199">
        <f t="shared" si="56"/>
        <v>0</v>
      </c>
    </row>
    <row r="1200" spans="1:15" x14ac:dyDescent="0.3">
      <c r="A1200" t="s">
        <v>15</v>
      </c>
      <c r="B1200" t="s">
        <v>252</v>
      </c>
      <c r="C1200" t="s">
        <v>253</v>
      </c>
      <c r="D1200">
        <v>2</v>
      </c>
      <c r="E1200" t="s">
        <v>31</v>
      </c>
      <c r="F1200" t="s">
        <v>32</v>
      </c>
      <c r="G1200">
        <v>92</v>
      </c>
      <c r="H1200">
        <v>0</v>
      </c>
      <c r="I1200">
        <v>92</v>
      </c>
      <c r="J1200">
        <f t="shared" si="54"/>
        <v>0</v>
      </c>
      <c r="K1200" t="s">
        <v>20</v>
      </c>
      <c r="L1200">
        <f t="shared" si="55"/>
        <v>1</v>
      </c>
      <c r="M1200">
        <v>10</v>
      </c>
      <c r="N1200">
        <v>1</v>
      </c>
      <c r="O1200">
        <f t="shared" si="56"/>
        <v>0</v>
      </c>
    </row>
    <row r="1201" spans="1:15" x14ac:dyDescent="0.3">
      <c r="A1201" t="s">
        <v>15</v>
      </c>
      <c r="B1201" t="s">
        <v>252</v>
      </c>
      <c r="C1201" t="s">
        <v>253</v>
      </c>
      <c r="D1201">
        <v>2</v>
      </c>
      <c r="E1201" t="s">
        <v>33</v>
      </c>
      <c r="F1201" t="s">
        <v>34</v>
      </c>
      <c r="G1201">
        <v>44</v>
      </c>
      <c r="H1201">
        <v>33</v>
      </c>
      <c r="I1201">
        <v>77</v>
      </c>
      <c r="J1201">
        <f t="shared" si="54"/>
        <v>11</v>
      </c>
      <c r="K1201" t="s">
        <v>20</v>
      </c>
      <c r="L1201">
        <f t="shared" si="55"/>
        <v>1</v>
      </c>
      <c r="M1201">
        <v>8</v>
      </c>
      <c r="N1201">
        <v>4</v>
      </c>
      <c r="O1201">
        <f t="shared" si="56"/>
        <v>1</v>
      </c>
    </row>
    <row r="1202" spans="1:15" x14ac:dyDescent="0.3">
      <c r="A1202" t="s">
        <v>15</v>
      </c>
      <c r="B1202" t="s">
        <v>252</v>
      </c>
      <c r="C1202" t="s">
        <v>253</v>
      </c>
      <c r="D1202">
        <v>2</v>
      </c>
      <c r="E1202" t="s">
        <v>35</v>
      </c>
      <c r="F1202" t="s">
        <v>36</v>
      </c>
      <c r="G1202">
        <v>21</v>
      </c>
      <c r="H1202">
        <v>34</v>
      </c>
      <c r="I1202">
        <v>55</v>
      </c>
      <c r="J1202">
        <f t="shared" si="54"/>
        <v>-13</v>
      </c>
      <c r="K1202" t="s">
        <v>20</v>
      </c>
      <c r="L1202">
        <f t="shared" si="55"/>
        <v>1</v>
      </c>
      <c r="M1202">
        <v>5</v>
      </c>
      <c r="N1202">
        <v>3</v>
      </c>
      <c r="O1202">
        <f t="shared" si="56"/>
        <v>1</v>
      </c>
    </row>
    <row r="1203" spans="1:15" x14ac:dyDescent="0.3">
      <c r="A1203" t="s">
        <v>15</v>
      </c>
      <c r="B1203" t="s">
        <v>252</v>
      </c>
      <c r="C1203" t="s">
        <v>253</v>
      </c>
      <c r="D1203">
        <v>2</v>
      </c>
      <c r="E1203" t="s">
        <v>37</v>
      </c>
      <c r="F1203" t="s">
        <v>38</v>
      </c>
      <c r="G1203">
        <v>33</v>
      </c>
      <c r="H1203">
        <v>44</v>
      </c>
      <c r="I1203">
        <v>77</v>
      </c>
      <c r="J1203">
        <f t="shared" si="54"/>
        <v>-11</v>
      </c>
      <c r="K1203" t="s">
        <v>20</v>
      </c>
      <c r="L1203">
        <f t="shared" si="55"/>
        <v>1</v>
      </c>
      <c r="M1203">
        <v>8</v>
      </c>
      <c r="N1203">
        <v>3</v>
      </c>
      <c r="O1203">
        <f t="shared" si="56"/>
        <v>1</v>
      </c>
    </row>
    <row r="1204" spans="1:15" x14ac:dyDescent="0.3">
      <c r="A1204" t="s">
        <v>15</v>
      </c>
      <c r="B1204" t="s">
        <v>252</v>
      </c>
      <c r="C1204" t="s">
        <v>253</v>
      </c>
      <c r="D1204">
        <v>1</v>
      </c>
      <c r="E1204" t="s">
        <v>39</v>
      </c>
      <c r="F1204" t="s">
        <v>40</v>
      </c>
      <c r="G1204">
        <v>94</v>
      </c>
      <c r="H1204">
        <v>0</v>
      </c>
      <c r="I1204">
        <v>94</v>
      </c>
      <c r="J1204">
        <f t="shared" si="54"/>
        <v>0</v>
      </c>
      <c r="K1204" t="s">
        <v>20</v>
      </c>
      <c r="L1204">
        <f t="shared" si="55"/>
        <v>1</v>
      </c>
      <c r="M1204">
        <v>10</v>
      </c>
      <c r="N1204">
        <v>1</v>
      </c>
      <c r="O1204">
        <f t="shared" si="56"/>
        <v>0</v>
      </c>
    </row>
    <row r="1205" spans="1:15" x14ac:dyDescent="0.3">
      <c r="A1205" t="s">
        <v>15</v>
      </c>
      <c r="B1205" t="s">
        <v>252</v>
      </c>
      <c r="C1205" t="s">
        <v>253</v>
      </c>
      <c r="D1205">
        <v>1</v>
      </c>
      <c r="E1205" t="s">
        <v>41</v>
      </c>
      <c r="F1205" t="s">
        <v>42</v>
      </c>
      <c r="G1205">
        <v>21</v>
      </c>
      <c r="H1205">
        <v>33</v>
      </c>
      <c r="I1205">
        <v>54</v>
      </c>
      <c r="J1205">
        <f t="shared" si="54"/>
        <v>-12</v>
      </c>
      <c r="K1205" t="s">
        <v>20</v>
      </c>
      <c r="L1205">
        <f t="shared" si="55"/>
        <v>1</v>
      </c>
      <c r="M1205">
        <v>7</v>
      </c>
      <c r="N1205">
        <v>3</v>
      </c>
      <c r="O1205">
        <f t="shared" si="56"/>
        <v>1</v>
      </c>
    </row>
    <row r="1206" spans="1:15" x14ac:dyDescent="0.3">
      <c r="A1206" t="s">
        <v>15</v>
      </c>
      <c r="B1206" t="s">
        <v>252</v>
      </c>
      <c r="C1206" t="s">
        <v>253</v>
      </c>
      <c r="D1206">
        <v>1</v>
      </c>
      <c r="E1206" t="s">
        <v>43</v>
      </c>
      <c r="F1206" t="s">
        <v>44</v>
      </c>
      <c r="G1206">
        <v>69</v>
      </c>
      <c r="H1206">
        <v>0</v>
      </c>
      <c r="I1206">
        <v>69</v>
      </c>
      <c r="J1206">
        <f t="shared" si="54"/>
        <v>0</v>
      </c>
      <c r="K1206" t="s">
        <v>20</v>
      </c>
      <c r="L1206">
        <f t="shared" si="55"/>
        <v>1</v>
      </c>
      <c r="M1206">
        <v>7</v>
      </c>
      <c r="N1206">
        <v>1</v>
      </c>
      <c r="O1206">
        <f t="shared" si="56"/>
        <v>0</v>
      </c>
    </row>
    <row r="1207" spans="1:15" x14ac:dyDescent="0.3">
      <c r="A1207" t="s">
        <v>15</v>
      </c>
      <c r="B1207" t="s">
        <v>252</v>
      </c>
      <c r="C1207" t="s">
        <v>253</v>
      </c>
      <c r="D1207">
        <v>1</v>
      </c>
      <c r="E1207" t="s">
        <v>45</v>
      </c>
      <c r="F1207" t="s">
        <v>46</v>
      </c>
      <c r="G1207">
        <v>31</v>
      </c>
      <c r="H1207">
        <v>44</v>
      </c>
      <c r="I1207">
        <v>75</v>
      </c>
      <c r="J1207">
        <f t="shared" si="54"/>
        <v>-13</v>
      </c>
      <c r="K1207" t="s">
        <v>20</v>
      </c>
      <c r="L1207">
        <f t="shared" si="55"/>
        <v>1</v>
      </c>
      <c r="M1207">
        <v>8</v>
      </c>
      <c r="N1207">
        <v>1</v>
      </c>
      <c r="O1207">
        <f t="shared" si="56"/>
        <v>1</v>
      </c>
    </row>
    <row r="1208" spans="1:15" x14ac:dyDescent="0.3">
      <c r="A1208" t="s">
        <v>15</v>
      </c>
      <c r="B1208" t="s">
        <v>252</v>
      </c>
      <c r="C1208" t="s">
        <v>253</v>
      </c>
      <c r="D1208">
        <v>1</v>
      </c>
      <c r="E1208" t="s">
        <v>254</v>
      </c>
      <c r="F1208" t="s">
        <v>255</v>
      </c>
      <c r="G1208">
        <v>72</v>
      </c>
      <c r="H1208">
        <v>0</v>
      </c>
      <c r="I1208">
        <v>72</v>
      </c>
      <c r="J1208">
        <f t="shared" si="54"/>
        <v>0</v>
      </c>
      <c r="K1208" t="s">
        <v>20</v>
      </c>
      <c r="L1208">
        <f t="shared" si="55"/>
        <v>1</v>
      </c>
      <c r="M1208">
        <v>8</v>
      </c>
      <c r="N1208">
        <v>1</v>
      </c>
      <c r="O1208">
        <f t="shared" si="56"/>
        <v>0</v>
      </c>
    </row>
    <row r="1209" spans="1:15" x14ac:dyDescent="0.3">
      <c r="A1209" t="s">
        <v>15</v>
      </c>
      <c r="B1209" t="s">
        <v>252</v>
      </c>
      <c r="C1209" t="s">
        <v>253</v>
      </c>
      <c r="D1209">
        <v>1</v>
      </c>
      <c r="E1209" t="s">
        <v>49</v>
      </c>
      <c r="F1209" t="s">
        <v>50</v>
      </c>
      <c r="G1209">
        <v>90</v>
      </c>
      <c r="H1209">
        <v>0</v>
      </c>
      <c r="I1209">
        <v>90</v>
      </c>
      <c r="J1209">
        <f t="shared" si="54"/>
        <v>0</v>
      </c>
      <c r="K1209" t="s">
        <v>20</v>
      </c>
      <c r="L1209">
        <f t="shared" si="55"/>
        <v>1</v>
      </c>
      <c r="M1209">
        <v>9</v>
      </c>
      <c r="N1209">
        <v>1</v>
      </c>
      <c r="O1209">
        <f t="shared" si="56"/>
        <v>0</v>
      </c>
    </row>
    <row r="1210" spans="1:15" x14ac:dyDescent="0.3">
      <c r="A1210" t="s">
        <v>15</v>
      </c>
      <c r="B1210" t="s">
        <v>252</v>
      </c>
      <c r="C1210" t="s">
        <v>253</v>
      </c>
      <c r="D1210">
        <v>1</v>
      </c>
      <c r="E1210" t="s">
        <v>51</v>
      </c>
      <c r="F1210" t="s">
        <v>52</v>
      </c>
      <c r="G1210">
        <v>86</v>
      </c>
      <c r="H1210">
        <v>0</v>
      </c>
      <c r="I1210">
        <v>86</v>
      </c>
      <c r="J1210">
        <f t="shared" si="54"/>
        <v>0</v>
      </c>
      <c r="K1210" t="s">
        <v>20</v>
      </c>
      <c r="L1210">
        <f t="shared" si="55"/>
        <v>1</v>
      </c>
      <c r="M1210">
        <v>9</v>
      </c>
      <c r="N1210">
        <v>1</v>
      </c>
      <c r="O1210">
        <f t="shared" si="56"/>
        <v>0</v>
      </c>
    </row>
    <row r="1211" spans="1:15" x14ac:dyDescent="0.3">
      <c r="A1211" t="s">
        <v>15</v>
      </c>
      <c r="B1211" t="s">
        <v>252</v>
      </c>
      <c r="C1211" t="s">
        <v>253</v>
      </c>
      <c r="D1211">
        <v>1</v>
      </c>
      <c r="E1211" t="s">
        <v>53</v>
      </c>
      <c r="F1211" t="s">
        <v>54</v>
      </c>
      <c r="G1211">
        <v>40</v>
      </c>
      <c r="H1211">
        <v>45</v>
      </c>
      <c r="I1211">
        <v>85</v>
      </c>
      <c r="J1211">
        <f t="shared" si="54"/>
        <v>-5</v>
      </c>
      <c r="K1211" t="s">
        <v>20</v>
      </c>
      <c r="L1211">
        <f t="shared" si="55"/>
        <v>1</v>
      </c>
      <c r="M1211">
        <v>8</v>
      </c>
      <c r="N1211">
        <v>4</v>
      </c>
      <c r="O1211">
        <f t="shared" si="56"/>
        <v>1</v>
      </c>
    </row>
    <row r="1212" spans="1:15" x14ac:dyDescent="0.3">
      <c r="A1212" t="s">
        <v>15</v>
      </c>
      <c r="B1212" t="s">
        <v>252</v>
      </c>
      <c r="C1212" t="s">
        <v>253</v>
      </c>
      <c r="D1212">
        <v>1</v>
      </c>
      <c r="E1212" t="s">
        <v>55</v>
      </c>
      <c r="F1212" t="s">
        <v>56</v>
      </c>
      <c r="G1212">
        <v>36</v>
      </c>
      <c r="H1212">
        <v>43</v>
      </c>
      <c r="I1212">
        <v>79</v>
      </c>
      <c r="J1212">
        <f t="shared" si="54"/>
        <v>-7</v>
      </c>
      <c r="K1212" t="s">
        <v>20</v>
      </c>
      <c r="L1212">
        <f t="shared" si="55"/>
        <v>1</v>
      </c>
      <c r="M1212">
        <v>8</v>
      </c>
      <c r="N1212">
        <v>3</v>
      </c>
      <c r="O1212">
        <f t="shared" si="56"/>
        <v>1</v>
      </c>
    </row>
    <row r="1213" spans="1:15" x14ac:dyDescent="0.3">
      <c r="A1213" t="s">
        <v>15</v>
      </c>
      <c r="B1213" t="s">
        <v>252</v>
      </c>
      <c r="C1213" t="s">
        <v>253</v>
      </c>
      <c r="D1213">
        <v>1</v>
      </c>
      <c r="E1213" t="s">
        <v>57</v>
      </c>
      <c r="F1213" t="s">
        <v>58</v>
      </c>
      <c r="G1213">
        <v>40</v>
      </c>
      <c r="H1213">
        <v>44</v>
      </c>
      <c r="I1213">
        <v>84</v>
      </c>
      <c r="J1213">
        <f t="shared" si="54"/>
        <v>-4</v>
      </c>
      <c r="K1213" t="s">
        <v>20</v>
      </c>
      <c r="L1213">
        <f t="shared" si="55"/>
        <v>1</v>
      </c>
      <c r="M1213">
        <v>9</v>
      </c>
      <c r="N1213">
        <v>4</v>
      </c>
      <c r="O1213">
        <f t="shared" si="56"/>
        <v>1</v>
      </c>
    </row>
    <row r="1214" spans="1:15" x14ac:dyDescent="0.3">
      <c r="A1214" t="s">
        <v>15</v>
      </c>
      <c r="B1214" t="s">
        <v>256</v>
      </c>
      <c r="C1214" t="s">
        <v>257</v>
      </c>
      <c r="D1214">
        <v>2</v>
      </c>
      <c r="E1214" t="s">
        <v>18</v>
      </c>
      <c r="F1214" t="s">
        <v>19</v>
      </c>
      <c r="G1214">
        <v>40</v>
      </c>
      <c r="H1214">
        <v>23</v>
      </c>
      <c r="I1214">
        <v>63</v>
      </c>
      <c r="J1214">
        <f t="shared" si="54"/>
        <v>17</v>
      </c>
      <c r="K1214" t="s">
        <v>20</v>
      </c>
      <c r="L1214">
        <f t="shared" si="55"/>
        <v>1</v>
      </c>
      <c r="M1214">
        <v>7</v>
      </c>
      <c r="N1214">
        <v>4</v>
      </c>
      <c r="O1214">
        <f t="shared" si="56"/>
        <v>1</v>
      </c>
    </row>
    <row r="1215" spans="1:15" x14ac:dyDescent="0.3">
      <c r="A1215" t="s">
        <v>15</v>
      </c>
      <c r="B1215" t="s">
        <v>256</v>
      </c>
      <c r="C1215" t="s">
        <v>257</v>
      </c>
      <c r="D1215">
        <v>2</v>
      </c>
      <c r="E1215" t="s">
        <v>21</v>
      </c>
      <c r="F1215" t="s">
        <v>22</v>
      </c>
      <c r="G1215">
        <v>35</v>
      </c>
      <c r="H1215">
        <v>26</v>
      </c>
      <c r="I1215">
        <v>61</v>
      </c>
      <c r="J1215">
        <f t="shared" si="54"/>
        <v>9</v>
      </c>
      <c r="K1215" t="s">
        <v>20</v>
      </c>
      <c r="L1215">
        <f t="shared" si="55"/>
        <v>1</v>
      </c>
      <c r="M1215">
        <v>6</v>
      </c>
      <c r="N1215">
        <v>4</v>
      </c>
      <c r="O1215">
        <f t="shared" si="56"/>
        <v>1</v>
      </c>
    </row>
    <row r="1216" spans="1:15" x14ac:dyDescent="0.3">
      <c r="A1216" t="s">
        <v>15</v>
      </c>
      <c r="B1216" t="s">
        <v>256</v>
      </c>
      <c r="C1216" t="s">
        <v>257</v>
      </c>
      <c r="D1216">
        <v>2</v>
      </c>
      <c r="E1216" t="s">
        <v>41</v>
      </c>
      <c r="F1216" t="s">
        <v>42</v>
      </c>
      <c r="G1216">
        <v>23</v>
      </c>
      <c r="H1216">
        <v>34</v>
      </c>
      <c r="I1216">
        <v>57</v>
      </c>
      <c r="J1216">
        <f t="shared" si="54"/>
        <v>-11</v>
      </c>
      <c r="K1216" t="s">
        <v>20</v>
      </c>
      <c r="L1216">
        <f t="shared" si="55"/>
        <v>1</v>
      </c>
      <c r="M1216">
        <v>7</v>
      </c>
      <c r="N1216">
        <v>3</v>
      </c>
      <c r="O1216">
        <f t="shared" si="56"/>
        <v>1</v>
      </c>
    </row>
    <row r="1217" spans="1:15" x14ac:dyDescent="0.3">
      <c r="A1217" t="s">
        <v>15</v>
      </c>
      <c r="B1217" t="s">
        <v>256</v>
      </c>
      <c r="C1217" t="s">
        <v>257</v>
      </c>
      <c r="D1217">
        <v>2</v>
      </c>
      <c r="E1217" t="s">
        <v>23</v>
      </c>
      <c r="F1217" t="s">
        <v>24</v>
      </c>
      <c r="G1217">
        <v>86</v>
      </c>
      <c r="H1217">
        <v>0</v>
      </c>
      <c r="I1217">
        <v>86</v>
      </c>
      <c r="J1217">
        <f t="shared" si="54"/>
        <v>0</v>
      </c>
      <c r="K1217" t="s">
        <v>20</v>
      </c>
      <c r="L1217">
        <f t="shared" si="55"/>
        <v>1</v>
      </c>
      <c r="M1217">
        <v>9</v>
      </c>
      <c r="N1217">
        <v>1</v>
      </c>
      <c r="O1217">
        <f t="shared" si="56"/>
        <v>0</v>
      </c>
    </row>
    <row r="1218" spans="1:15" x14ac:dyDescent="0.3">
      <c r="A1218" t="s">
        <v>15</v>
      </c>
      <c r="B1218" t="s">
        <v>256</v>
      </c>
      <c r="C1218" t="s">
        <v>257</v>
      </c>
      <c r="D1218">
        <v>2</v>
      </c>
      <c r="E1218" t="s">
        <v>25</v>
      </c>
      <c r="F1218" t="s">
        <v>26</v>
      </c>
      <c r="G1218">
        <v>34</v>
      </c>
      <c r="H1218">
        <v>25</v>
      </c>
      <c r="I1218">
        <v>59</v>
      </c>
      <c r="J1218">
        <f t="shared" ref="J1218:J1281" si="57">IF(H1218=0,0,G1218-H1218)</f>
        <v>9</v>
      </c>
      <c r="K1218" t="s">
        <v>20</v>
      </c>
      <c r="L1218">
        <f t="shared" ref="L1218:L1281" si="58">IF(K1218="Pass",1,0)</f>
        <v>1</v>
      </c>
      <c r="M1218">
        <v>6</v>
      </c>
      <c r="N1218">
        <v>1</v>
      </c>
      <c r="O1218">
        <f t="shared" ref="O1218:O1281" si="59">IF(H1218=0,0,1)</f>
        <v>1</v>
      </c>
    </row>
    <row r="1219" spans="1:15" x14ac:dyDescent="0.3">
      <c r="A1219" t="s">
        <v>15</v>
      </c>
      <c r="B1219" t="s">
        <v>256</v>
      </c>
      <c r="C1219" t="s">
        <v>257</v>
      </c>
      <c r="D1219">
        <v>2</v>
      </c>
      <c r="E1219" t="s">
        <v>61</v>
      </c>
      <c r="F1219" t="s">
        <v>62</v>
      </c>
      <c r="G1219">
        <v>24</v>
      </c>
      <c r="H1219">
        <v>35</v>
      </c>
      <c r="I1219">
        <v>59</v>
      </c>
      <c r="J1219">
        <f t="shared" si="57"/>
        <v>-11</v>
      </c>
      <c r="K1219" t="s">
        <v>20</v>
      </c>
      <c r="L1219">
        <f t="shared" si="58"/>
        <v>1</v>
      </c>
      <c r="M1219">
        <v>6</v>
      </c>
      <c r="N1219">
        <v>2</v>
      </c>
      <c r="O1219">
        <f t="shared" si="59"/>
        <v>1</v>
      </c>
    </row>
    <row r="1220" spans="1:15" x14ac:dyDescent="0.3">
      <c r="A1220" t="s">
        <v>15</v>
      </c>
      <c r="B1220" t="s">
        <v>256</v>
      </c>
      <c r="C1220" t="s">
        <v>257</v>
      </c>
      <c r="D1220">
        <v>2</v>
      </c>
      <c r="E1220" t="s">
        <v>69</v>
      </c>
      <c r="F1220" t="s">
        <v>70</v>
      </c>
      <c r="G1220">
        <v>100</v>
      </c>
      <c r="H1220">
        <v>0</v>
      </c>
      <c r="I1220">
        <v>100</v>
      </c>
      <c r="J1220">
        <f t="shared" si="57"/>
        <v>0</v>
      </c>
      <c r="K1220" t="s">
        <v>20</v>
      </c>
      <c r="L1220">
        <f t="shared" si="58"/>
        <v>1</v>
      </c>
      <c r="M1220">
        <v>10</v>
      </c>
      <c r="N1220">
        <v>1</v>
      </c>
      <c r="O1220">
        <f t="shared" si="59"/>
        <v>0</v>
      </c>
    </row>
    <row r="1221" spans="1:15" x14ac:dyDescent="0.3">
      <c r="A1221" t="s">
        <v>15</v>
      </c>
      <c r="B1221" t="s">
        <v>256</v>
      </c>
      <c r="C1221" t="s">
        <v>257</v>
      </c>
      <c r="D1221">
        <v>2</v>
      </c>
      <c r="E1221" t="s">
        <v>31</v>
      </c>
      <c r="F1221" t="s">
        <v>32</v>
      </c>
      <c r="G1221">
        <v>92</v>
      </c>
      <c r="H1221">
        <v>0</v>
      </c>
      <c r="I1221">
        <v>92</v>
      </c>
      <c r="J1221">
        <f t="shared" si="57"/>
        <v>0</v>
      </c>
      <c r="K1221" t="s">
        <v>20</v>
      </c>
      <c r="L1221">
        <f t="shared" si="58"/>
        <v>1</v>
      </c>
      <c r="M1221">
        <v>10</v>
      </c>
      <c r="N1221">
        <v>1</v>
      </c>
      <c r="O1221">
        <f t="shared" si="59"/>
        <v>0</v>
      </c>
    </row>
    <row r="1222" spans="1:15" x14ac:dyDescent="0.3">
      <c r="A1222" t="s">
        <v>15</v>
      </c>
      <c r="B1222" t="s">
        <v>256</v>
      </c>
      <c r="C1222" t="s">
        <v>257</v>
      </c>
      <c r="D1222">
        <v>2</v>
      </c>
      <c r="E1222" t="s">
        <v>33</v>
      </c>
      <c r="F1222" t="s">
        <v>34</v>
      </c>
      <c r="G1222">
        <v>35</v>
      </c>
      <c r="H1222">
        <v>23</v>
      </c>
      <c r="I1222">
        <v>58</v>
      </c>
      <c r="J1222">
        <f t="shared" si="57"/>
        <v>12</v>
      </c>
      <c r="K1222" t="s">
        <v>20</v>
      </c>
      <c r="L1222">
        <f t="shared" si="58"/>
        <v>1</v>
      </c>
      <c r="M1222">
        <v>7</v>
      </c>
      <c r="N1222">
        <v>4</v>
      </c>
      <c r="O1222">
        <f t="shared" si="59"/>
        <v>1</v>
      </c>
    </row>
    <row r="1223" spans="1:15" x14ac:dyDescent="0.3">
      <c r="A1223" t="s">
        <v>15</v>
      </c>
      <c r="B1223" t="s">
        <v>256</v>
      </c>
      <c r="C1223" t="s">
        <v>257</v>
      </c>
      <c r="D1223">
        <v>2</v>
      </c>
      <c r="E1223" t="s">
        <v>35</v>
      </c>
      <c r="F1223" t="s">
        <v>36</v>
      </c>
      <c r="G1223">
        <v>21</v>
      </c>
      <c r="H1223">
        <v>35</v>
      </c>
      <c r="I1223">
        <v>56</v>
      </c>
      <c r="J1223">
        <f t="shared" si="57"/>
        <v>-14</v>
      </c>
      <c r="K1223" t="s">
        <v>20</v>
      </c>
      <c r="L1223">
        <f t="shared" si="58"/>
        <v>1</v>
      </c>
      <c r="M1223">
        <v>6</v>
      </c>
      <c r="N1223">
        <v>3</v>
      </c>
      <c r="O1223">
        <f t="shared" si="59"/>
        <v>1</v>
      </c>
    </row>
    <row r="1224" spans="1:15" x14ac:dyDescent="0.3">
      <c r="A1224" t="s">
        <v>15</v>
      </c>
      <c r="B1224" t="s">
        <v>256</v>
      </c>
      <c r="C1224" t="s">
        <v>257</v>
      </c>
      <c r="D1224">
        <v>2</v>
      </c>
      <c r="E1224" t="s">
        <v>37</v>
      </c>
      <c r="F1224" t="s">
        <v>38</v>
      </c>
      <c r="G1224">
        <v>26</v>
      </c>
      <c r="H1224">
        <v>34</v>
      </c>
      <c r="I1224">
        <v>60</v>
      </c>
      <c r="J1224">
        <f t="shared" si="57"/>
        <v>-8</v>
      </c>
      <c r="K1224" t="s">
        <v>20</v>
      </c>
      <c r="L1224">
        <f t="shared" si="58"/>
        <v>1</v>
      </c>
      <c r="M1224">
        <v>6</v>
      </c>
      <c r="N1224">
        <v>3</v>
      </c>
      <c r="O1224">
        <f t="shared" si="59"/>
        <v>1</v>
      </c>
    </row>
    <row r="1225" spans="1:15" x14ac:dyDescent="0.3">
      <c r="A1225" t="s">
        <v>15</v>
      </c>
      <c r="B1225" t="s">
        <v>256</v>
      </c>
      <c r="C1225" t="s">
        <v>257</v>
      </c>
      <c r="D1225">
        <v>1</v>
      </c>
      <c r="E1225" t="s">
        <v>39</v>
      </c>
      <c r="F1225" t="s">
        <v>40</v>
      </c>
      <c r="G1225">
        <v>90</v>
      </c>
      <c r="H1225">
        <v>0</v>
      </c>
      <c r="I1225">
        <v>90</v>
      </c>
      <c r="J1225">
        <f t="shared" si="57"/>
        <v>0</v>
      </c>
      <c r="K1225" t="s">
        <v>20</v>
      </c>
      <c r="L1225">
        <f t="shared" si="58"/>
        <v>1</v>
      </c>
      <c r="M1225">
        <v>9</v>
      </c>
      <c r="N1225">
        <v>1</v>
      </c>
      <c r="O1225">
        <f t="shared" si="59"/>
        <v>0</v>
      </c>
    </row>
    <row r="1226" spans="1:15" x14ac:dyDescent="0.3">
      <c r="A1226" t="s">
        <v>15</v>
      </c>
      <c r="B1226" t="s">
        <v>256</v>
      </c>
      <c r="C1226" t="s">
        <v>257</v>
      </c>
      <c r="D1226">
        <v>1</v>
      </c>
      <c r="E1226" t="s">
        <v>41</v>
      </c>
      <c r="F1226" t="s">
        <v>42</v>
      </c>
      <c r="G1226">
        <v>23</v>
      </c>
      <c r="H1226">
        <v>14</v>
      </c>
      <c r="I1226">
        <v>37</v>
      </c>
      <c r="J1226">
        <f t="shared" si="57"/>
        <v>9</v>
      </c>
      <c r="K1226" t="s">
        <v>87</v>
      </c>
      <c r="L1226">
        <f t="shared" si="58"/>
        <v>0</v>
      </c>
      <c r="M1226">
        <v>0</v>
      </c>
      <c r="N1226">
        <v>3</v>
      </c>
      <c r="O1226">
        <f t="shared" si="59"/>
        <v>1</v>
      </c>
    </row>
    <row r="1227" spans="1:15" x14ac:dyDescent="0.3">
      <c r="A1227" t="s">
        <v>15</v>
      </c>
      <c r="B1227" t="s">
        <v>256</v>
      </c>
      <c r="C1227" t="s">
        <v>257</v>
      </c>
      <c r="D1227">
        <v>1</v>
      </c>
      <c r="E1227" t="s">
        <v>43</v>
      </c>
      <c r="F1227" t="s">
        <v>44</v>
      </c>
      <c r="G1227">
        <v>86</v>
      </c>
      <c r="H1227">
        <v>0</v>
      </c>
      <c r="I1227">
        <v>86</v>
      </c>
      <c r="J1227">
        <f t="shared" si="57"/>
        <v>0</v>
      </c>
      <c r="K1227" t="s">
        <v>20</v>
      </c>
      <c r="L1227">
        <f t="shared" si="58"/>
        <v>1</v>
      </c>
      <c r="M1227">
        <v>9</v>
      </c>
      <c r="N1227">
        <v>1</v>
      </c>
      <c r="O1227">
        <f t="shared" si="59"/>
        <v>0</v>
      </c>
    </row>
    <row r="1228" spans="1:15" x14ac:dyDescent="0.3">
      <c r="A1228" t="s">
        <v>15</v>
      </c>
      <c r="B1228" t="s">
        <v>256</v>
      </c>
      <c r="C1228" t="s">
        <v>257</v>
      </c>
      <c r="D1228">
        <v>1</v>
      </c>
      <c r="E1228" t="s">
        <v>45</v>
      </c>
      <c r="F1228" t="s">
        <v>46</v>
      </c>
      <c r="G1228">
        <v>25</v>
      </c>
      <c r="H1228">
        <v>42</v>
      </c>
      <c r="I1228">
        <v>67</v>
      </c>
      <c r="J1228">
        <f t="shared" si="57"/>
        <v>-17</v>
      </c>
      <c r="K1228" t="s">
        <v>20</v>
      </c>
      <c r="L1228">
        <f t="shared" si="58"/>
        <v>1</v>
      </c>
      <c r="M1228">
        <v>7</v>
      </c>
      <c r="N1228">
        <v>1</v>
      </c>
      <c r="O1228">
        <f t="shared" si="59"/>
        <v>1</v>
      </c>
    </row>
    <row r="1229" spans="1:15" x14ac:dyDescent="0.3">
      <c r="A1229" t="s">
        <v>15</v>
      </c>
      <c r="B1229" t="s">
        <v>256</v>
      </c>
      <c r="C1229" t="s">
        <v>257</v>
      </c>
      <c r="D1229">
        <v>1</v>
      </c>
      <c r="E1229" t="s">
        <v>236</v>
      </c>
      <c r="F1229" t="s">
        <v>237</v>
      </c>
      <c r="G1229">
        <v>83</v>
      </c>
      <c r="H1229">
        <v>0</v>
      </c>
      <c r="I1229">
        <v>83</v>
      </c>
      <c r="J1229">
        <f t="shared" si="57"/>
        <v>0</v>
      </c>
      <c r="K1229" t="s">
        <v>20</v>
      </c>
      <c r="L1229">
        <f t="shared" si="58"/>
        <v>1</v>
      </c>
      <c r="M1229">
        <v>9</v>
      </c>
      <c r="N1229">
        <v>1</v>
      </c>
      <c r="O1229">
        <f t="shared" si="59"/>
        <v>0</v>
      </c>
    </row>
    <row r="1230" spans="1:15" x14ac:dyDescent="0.3">
      <c r="A1230" t="s">
        <v>15</v>
      </c>
      <c r="B1230" t="s">
        <v>256</v>
      </c>
      <c r="C1230" t="s">
        <v>257</v>
      </c>
      <c r="D1230">
        <v>1</v>
      </c>
      <c r="E1230" t="s">
        <v>49</v>
      </c>
      <c r="F1230" t="s">
        <v>50</v>
      </c>
      <c r="G1230">
        <v>100</v>
      </c>
      <c r="H1230">
        <v>0</v>
      </c>
      <c r="I1230">
        <v>100</v>
      </c>
      <c r="J1230">
        <f t="shared" si="57"/>
        <v>0</v>
      </c>
      <c r="K1230" t="s">
        <v>20</v>
      </c>
      <c r="L1230">
        <f t="shared" si="58"/>
        <v>1</v>
      </c>
      <c r="M1230">
        <v>10</v>
      </c>
      <c r="N1230">
        <v>1</v>
      </c>
      <c r="O1230">
        <f t="shared" si="59"/>
        <v>0</v>
      </c>
    </row>
    <row r="1231" spans="1:15" x14ac:dyDescent="0.3">
      <c r="A1231" t="s">
        <v>15</v>
      </c>
      <c r="B1231" t="s">
        <v>256</v>
      </c>
      <c r="C1231" t="s">
        <v>257</v>
      </c>
      <c r="D1231">
        <v>1</v>
      </c>
      <c r="E1231" t="s">
        <v>51</v>
      </c>
      <c r="F1231" t="s">
        <v>52</v>
      </c>
      <c r="G1231">
        <v>85</v>
      </c>
      <c r="H1231">
        <v>0</v>
      </c>
      <c r="I1231">
        <v>85</v>
      </c>
      <c r="J1231">
        <f t="shared" si="57"/>
        <v>0</v>
      </c>
      <c r="K1231" t="s">
        <v>20</v>
      </c>
      <c r="L1231">
        <f t="shared" si="58"/>
        <v>1</v>
      </c>
      <c r="M1231">
        <v>9</v>
      </c>
      <c r="N1231">
        <v>1</v>
      </c>
      <c r="O1231">
        <f t="shared" si="59"/>
        <v>0</v>
      </c>
    </row>
    <row r="1232" spans="1:15" x14ac:dyDescent="0.3">
      <c r="A1232" t="s">
        <v>15</v>
      </c>
      <c r="B1232" t="s">
        <v>256</v>
      </c>
      <c r="C1232" t="s">
        <v>257</v>
      </c>
      <c r="D1232">
        <v>1</v>
      </c>
      <c r="E1232" t="s">
        <v>53</v>
      </c>
      <c r="F1232" t="s">
        <v>54</v>
      </c>
      <c r="G1232">
        <v>34</v>
      </c>
      <c r="H1232">
        <v>37</v>
      </c>
      <c r="I1232">
        <v>71</v>
      </c>
      <c r="J1232">
        <f t="shared" si="57"/>
        <v>-3</v>
      </c>
      <c r="K1232" t="s">
        <v>20</v>
      </c>
      <c r="L1232">
        <f t="shared" si="58"/>
        <v>1</v>
      </c>
      <c r="M1232">
        <v>7</v>
      </c>
      <c r="N1232">
        <v>4</v>
      </c>
      <c r="O1232">
        <f t="shared" si="59"/>
        <v>1</v>
      </c>
    </row>
    <row r="1233" spans="1:15" x14ac:dyDescent="0.3">
      <c r="A1233" t="s">
        <v>15</v>
      </c>
      <c r="B1233" t="s">
        <v>256</v>
      </c>
      <c r="C1233" t="s">
        <v>257</v>
      </c>
      <c r="D1233">
        <v>1</v>
      </c>
      <c r="E1233" t="s">
        <v>55</v>
      </c>
      <c r="F1233" t="s">
        <v>56</v>
      </c>
      <c r="G1233">
        <v>33</v>
      </c>
      <c r="H1233">
        <v>30</v>
      </c>
      <c r="I1233">
        <v>63</v>
      </c>
      <c r="J1233">
        <f t="shared" si="57"/>
        <v>3</v>
      </c>
      <c r="K1233" t="s">
        <v>20</v>
      </c>
      <c r="L1233">
        <f t="shared" si="58"/>
        <v>1</v>
      </c>
      <c r="M1233">
        <v>7</v>
      </c>
      <c r="N1233">
        <v>3</v>
      </c>
      <c r="O1233">
        <f t="shared" si="59"/>
        <v>1</v>
      </c>
    </row>
    <row r="1234" spans="1:15" x14ac:dyDescent="0.3">
      <c r="A1234" t="s">
        <v>15</v>
      </c>
      <c r="B1234" t="s">
        <v>256</v>
      </c>
      <c r="C1234" t="s">
        <v>257</v>
      </c>
      <c r="D1234">
        <v>1</v>
      </c>
      <c r="E1234" t="s">
        <v>57</v>
      </c>
      <c r="F1234" t="s">
        <v>58</v>
      </c>
      <c r="G1234">
        <v>36</v>
      </c>
      <c r="H1234">
        <v>38</v>
      </c>
      <c r="I1234">
        <v>74</v>
      </c>
      <c r="J1234">
        <f t="shared" si="57"/>
        <v>-2</v>
      </c>
      <c r="K1234" t="s">
        <v>20</v>
      </c>
      <c r="L1234">
        <f t="shared" si="58"/>
        <v>1</v>
      </c>
      <c r="M1234">
        <v>8</v>
      </c>
      <c r="N1234">
        <v>4</v>
      </c>
      <c r="O1234">
        <f t="shared" si="59"/>
        <v>1</v>
      </c>
    </row>
    <row r="1235" spans="1:15" x14ac:dyDescent="0.3">
      <c r="A1235" t="s">
        <v>15</v>
      </c>
      <c r="B1235" t="s">
        <v>258</v>
      </c>
      <c r="C1235" t="s">
        <v>259</v>
      </c>
      <c r="D1235">
        <v>2</v>
      </c>
      <c r="E1235" t="s">
        <v>18</v>
      </c>
      <c r="F1235" t="s">
        <v>19</v>
      </c>
      <c r="G1235">
        <v>47</v>
      </c>
      <c r="H1235">
        <v>27</v>
      </c>
      <c r="I1235">
        <v>74</v>
      </c>
      <c r="J1235">
        <f t="shared" si="57"/>
        <v>20</v>
      </c>
      <c r="K1235" t="s">
        <v>20</v>
      </c>
      <c r="L1235">
        <f t="shared" si="58"/>
        <v>1</v>
      </c>
      <c r="M1235">
        <v>8</v>
      </c>
      <c r="N1235">
        <v>4</v>
      </c>
      <c r="O1235">
        <f t="shared" si="59"/>
        <v>1</v>
      </c>
    </row>
    <row r="1236" spans="1:15" x14ac:dyDescent="0.3">
      <c r="A1236" t="s">
        <v>15</v>
      </c>
      <c r="B1236" t="s">
        <v>258</v>
      </c>
      <c r="C1236" t="s">
        <v>259</v>
      </c>
      <c r="D1236">
        <v>2</v>
      </c>
      <c r="E1236" t="s">
        <v>21</v>
      </c>
      <c r="F1236" t="s">
        <v>22</v>
      </c>
      <c r="G1236">
        <v>43</v>
      </c>
      <c r="H1236">
        <v>33</v>
      </c>
      <c r="I1236">
        <v>76</v>
      </c>
      <c r="J1236">
        <f t="shared" si="57"/>
        <v>10</v>
      </c>
      <c r="K1236" t="s">
        <v>20</v>
      </c>
      <c r="L1236">
        <f t="shared" si="58"/>
        <v>1</v>
      </c>
      <c r="M1236">
        <v>8</v>
      </c>
      <c r="N1236">
        <v>4</v>
      </c>
      <c r="O1236">
        <f t="shared" si="59"/>
        <v>1</v>
      </c>
    </row>
    <row r="1237" spans="1:15" x14ac:dyDescent="0.3">
      <c r="A1237" t="s">
        <v>15</v>
      </c>
      <c r="B1237" t="s">
        <v>258</v>
      </c>
      <c r="C1237" t="s">
        <v>259</v>
      </c>
      <c r="D1237">
        <v>2</v>
      </c>
      <c r="E1237" t="s">
        <v>23</v>
      </c>
      <c r="F1237" t="s">
        <v>24</v>
      </c>
      <c r="G1237">
        <v>79</v>
      </c>
      <c r="H1237">
        <v>0</v>
      </c>
      <c r="I1237">
        <v>79</v>
      </c>
      <c r="J1237">
        <f t="shared" si="57"/>
        <v>0</v>
      </c>
      <c r="K1237" t="s">
        <v>20</v>
      </c>
      <c r="L1237">
        <f t="shared" si="58"/>
        <v>1</v>
      </c>
      <c r="M1237">
        <v>8</v>
      </c>
      <c r="N1237">
        <v>1</v>
      </c>
      <c r="O1237">
        <f t="shared" si="59"/>
        <v>0</v>
      </c>
    </row>
    <row r="1238" spans="1:15" x14ac:dyDescent="0.3">
      <c r="A1238" t="s">
        <v>15</v>
      </c>
      <c r="B1238" t="s">
        <v>258</v>
      </c>
      <c r="C1238" t="s">
        <v>259</v>
      </c>
      <c r="D1238">
        <v>2</v>
      </c>
      <c r="E1238" t="s">
        <v>25</v>
      </c>
      <c r="F1238" t="s">
        <v>26</v>
      </c>
      <c r="G1238">
        <v>38</v>
      </c>
      <c r="H1238">
        <v>35</v>
      </c>
      <c r="I1238">
        <v>73</v>
      </c>
      <c r="J1238">
        <f t="shared" si="57"/>
        <v>3</v>
      </c>
      <c r="K1238" t="s">
        <v>20</v>
      </c>
      <c r="L1238">
        <f t="shared" si="58"/>
        <v>1</v>
      </c>
      <c r="M1238">
        <v>7</v>
      </c>
      <c r="N1238">
        <v>1</v>
      </c>
      <c r="O1238">
        <f t="shared" si="59"/>
        <v>1</v>
      </c>
    </row>
    <row r="1239" spans="1:15" x14ac:dyDescent="0.3">
      <c r="A1239" t="s">
        <v>15</v>
      </c>
      <c r="B1239" t="s">
        <v>258</v>
      </c>
      <c r="C1239" t="s">
        <v>259</v>
      </c>
      <c r="D1239">
        <v>2</v>
      </c>
      <c r="E1239" t="s">
        <v>27</v>
      </c>
      <c r="F1239" t="s">
        <v>28</v>
      </c>
      <c r="G1239">
        <v>30</v>
      </c>
      <c r="H1239">
        <v>43</v>
      </c>
      <c r="I1239">
        <v>73</v>
      </c>
      <c r="J1239">
        <f t="shared" si="57"/>
        <v>-13</v>
      </c>
      <c r="K1239" t="s">
        <v>20</v>
      </c>
      <c r="L1239">
        <f t="shared" si="58"/>
        <v>1</v>
      </c>
      <c r="M1239">
        <v>7</v>
      </c>
      <c r="N1239">
        <v>2</v>
      </c>
      <c r="O1239">
        <f t="shared" si="59"/>
        <v>1</v>
      </c>
    </row>
    <row r="1240" spans="1:15" x14ac:dyDescent="0.3">
      <c r="A1240" t="s">
        <v>15</v>
      </c>
      <c r="B1240" t="s">
        <v>258</v>
      </c>
      <c r="C1240" t="s">
        <v>259</v>
      </c>
      <c r="D1240">
        <v>2</v>
      </c>
      <c r="E1240" t="s">
        <v>109</v>
      </c>
      <c r="F1240" t="s">
        <v>110</v>
      </c>
      <c r="G1240">
        <v>92</v>
      </c>
      <c r="H1240">
        <v>0</v>
      </c>
      <c r="I1240">
        <v>92</v>
      </c>
      <c r="J1240">
        <f t="shared" si="57"/>
        <v>0</v>
      </c>
      <c r="K1240" t="s">
        <v>20</v>
      </c>
      <c r="L1240">
        <f t="shared" si="58"/>
        <v>1</v>
      </c>
      <c r="M1240">
        <v>10</v>
      </c>
      <c r="N1240">
        <v>1</v>
      </c>
      <c r="O1240">
        <f t="shared" si="59"/>
        <v>0</v>
      </c>
    </row>
    <row r="1241" spans="1:15" x14ac:dyDescent="0.3">
      <c r="A1241" t="s">
        <v>15</v>
      </c>
      <c r="B1241" t="s">
        <v>258</v>
      </c>
      <c r="C1241" t="s">
        <v>259</v>
      </c>
      <c r="D1241">
        <v>2</v>
      </c>
      <c r="E1241" t="s">
        <v>31</v>
      </c>
      <c r="F1241" t="s">
        <v>32</v>
      </c>
      <c r="G1241">
        <v>92</v>
      </c>
      <c r="H1241">
        <v>0</v>
      </c>
      <c r="I1241">
        <v>92</v>
      </c>
      <c r="J1241">
        <f t="shared" si="57"/>
        <v>0</v>
      </c>
      <c r="K1241" t="s">
        <v>20</v>
      </c>
      <c r="L1241">
        <f t="shared" si="58"/>
        <v>1</v>
      </c>
      <c r="M1241">
        <v>10</v>
      </c>
      <c r="N1241">
        <v>1</v>
      </c>
      <c r="O1241">
        <f t="shared" si="59"/>
        <v>0</v>
      </c>
    </row>
    <row r="1242" spans="1:15" x14ac:dyDescent="0.3">
      <c r="A1242" t="s">
        <v>15</v>
      </c>
      <c r="B1242" t="s">
        <v>258</v>
      </c>
      <c r="C1242" t="s">
        <v>259</v>
      </c>
      <c r="D1242">
        <v>2</v>
      </c>
      <c r="E1242" t="s">
        <v>33</v>
      </c>
      <c r="F1242" t="s">
        <v>34</v>
      </c>
      <c r="G1242">
        <v>42</v>
      </c>
      <c r="H1242">
        <v>33</v>
      </c>
      <c r="I1242">
        <v>75</v>
      </c>
      <c r="J1242">
        <f t="shared" si="57"/>
        <v>9</v>
      </c>
      <c r="K1242" t="s">
        <v>20</v>
      </c>
      <c r="L1242">
        <f t="shared" si="58"/>
        <v>1</v>
      </c>
      <c r="M1242">
        <v>8</v>
      </c>
      <c r="N1242">
        <v>4</v>
      </c>
      <c r="O1242">
        <f t="shared" si="59"/>
        <v>1</v>
      </c>
    </row>
    <row r="1243" spans="1:15" x14ac:dyDescent="0.3">
      <c r="A1243" t="s">
        <v>15</v>
      </c>
      <c r="B1243" t="s">
        <v>258</v>
      </c>
      <c r="C1243" t="s">
        <v>259</v>
      </c>
      <c r="D1243">
        <v>2</v>
      </c>
      <c r="E1243" t="s">
        <v>35</v>
      </c>
      <c r="F1243" t="s">
        <v>36</v>
      </c>
      <c r="G1243">
        <v>30</v>
      </c>
      <c r="H1243">
        <v>30</v>
      </c>
      <c r="I1243">
        <v>60</v>
      </c>
      <c r="J1243">
        <f t="shared" si="57"/>
        <v>0</v>
      </c>
      <c r="K1243" t="s">
        <v>20</v>
      </c>
      <c r="L1243">
        <f t="shared" si="58"/>
        <v>1</v>
      </c>
      <c r="M1243">
        <v>6</v>
      </c>
      <c r="N1243">
        <v>3</v>
      </c>
      <c r="O1243">
        <f t="shared" si="59"/>
        <v>1</v>
      </c>
    </row>
    <row r="1244" spans="1:15" x14ac:dyDescent="0.3">
      <c r="A1244" t="s">
        <v>15</v>
      </c>
      <c r="B1244" t="s">
        <v>258</v>
      </c>
      <c r="C1244" t="s">
        <v>259</v>
      </c>
      <c r="D1244">
        <v>2</v>
      </c>
      <c r="E1244" t="s">
        <v>37</v>
      </c>
      <c r="F1244" t="s">
        <v>38</v>
      </c>
      <c r="G1244">
        <v>38</v>
      </c>
      <c r="H1244">
        <v>41</v>
      </c>
      <c r="I1244">
        <v>79</v>
      </c>
      <c r="J1244">
        <f t="shared" si="57"/>
        <v>-3</v>
      </c>
      <c r="K1244" t="s">
        <v>20</v>
      </c>
      <c r="L1244">
        <f t="shared" si="58"/>
        <v>1</v>
      </c>
      <c r="M1244">
        <v>8</v>
      </c>
      <c r="N1244">
        <v>3</v>
      </c>
      <c r="O1244">
        <f t="shared" si="59"/>
        <v>1</v>
      </c>
    </row>
    <row r="1245" spans="1:15" x14ac:dyDescent="0.3">
      <c r="A1245" t="s">
        <v>15</v>
      </c>
      <c r="B1245" t="s">
        <v>258</v>
      </c>
      <c r="C1245" t="s">
        <v>259</v>
      </c>
      <c r="D1245">
        <v>1</v>
      </c>
      <c r="E1245" t="s">
        <v>39</v>
      </c>
      <c r="F1245" t="s">
        <v>40</v>
      </c>
      <c r="G1245">
        <v>92</v>
      </c>
      <c r="H1245">
        <v>0</v>
      </c>
      <c r="I1245">
        <v>92</v>
      </c>
      <c r="J1245">
        <f t="shared" si="57"/>
        <v>0</v>
      </c>
      <c r="K1245" t="s">
        <v>20</v>
      </c>
      <c r="L1245">
        <f t="shared" si="58"/>
        <v>1</v>
      </c>
      <c r="M1245">
        <v>10</v>
      </c>
      <c r="N1245">
        <v>1</v>
      </c>
      <c r="O1245">
        <f t="shared" si="59"/>
        <v>0</v>
      </c>
    </row>
    <row r="1246" spans="1:15" x14ac:dyDescent="0.3">
      <c r="A1246" t="s">
        <v>15</v>
      </c>
      <c r="B1246" t="s">
        <v>258</v>
      </c>
      <c r="C1246" t="s">
        <v>259</v>
      </c>
      <c r="D1246">
        <v>1</v>
      </c>
      <c r="E1246" t="s">
        <v>41</v>
      </c>
      <c r="F1246" t="s">
        <v>42</v>
      </c>
      <c r="G1246">
        <v>29</v>
      </c>
      <c r="H1246">
        <v>31</v>
      </c>
      <c r="I1246">
        <v>60</v>
      </c>
      <c r="J1246">
        <f t="shared" si="57"/>
        <v>-2</v>
      </c>
      <c r="K1246" t="s">
        <v>20</v>
      </c>
      <c r="L1246">
        <f t="shared" si="58"/>
        <v>1</v>
      </c>
      <c r="M1246">
        <v>8</v>
      </c>
      <c r="N1246">
        <v>3</v>
      </c>
      <c r="O1246">
        <f t="shared" si="59"/>
        <v>1</v>
      </c>
    </row>
    <row r="1247" spans="1:15" x14ac:dyDescent="0.3">
      <c r="A1247" t="s">
        <v>15</v>
      </c>
      <c r="B1247" t="s">
        <v>258</v>
      </c>
      <c r="C1247" t="s">
        <v>259</v>
      </c>
      <c r="D1247">
        <v>1</v>
      </c>
      <c r="E1247" t="s">
        <v>43</v>
      </c>
      <c r="F1247" t="s">
        <v>44</v>
      </c>
      <c r="G1247">
        <v>64</v>
      </c>
      <c r="H1247">
        <v>0</v>
      </c>
      <c r="I1247">
        <v>64</v>
      </c>
      <c r="J1247">
        <f t="shared" si="57"/>
        <v>0</v>
      </c>
      <c r="K1247" t="s">
        <v>20</v>
      </c>
      <c r="L1247">
        <f t="shared" si="58"/>
        <v>1</v>
      </c>
      <c r="M1247">
        <v>7</v>
      </c>
      <c r="N1247">
        <v>1</v>
      </c>
      <c r="O1247">
        <f t="shared" si="59"/>
        <v>0</v>
      </c>
    </row>
    <row r="1248" spans="1:15" x14ac:dyDescent="0.3">
      <c r="A1248" t="s">
        <v>15</v>
      </c>
      <c r="B1248" t="s">
        <v>258</v>
      </c>
      <c r="C1248" t="s">
        <v>259</v>
      </c>
      <c r="D1248">
        <v>1</v>
      </c>
      <c r="E1248" t="s">
        <v>45</v>
      </c>
      <c r="F1248" t="s">
        <v>46</v>
      </c>
      <c r="G1248">
        <v>33</v>
      </c>
      <c r="H1248">
        <v>47</v>
      </c>
      <c r="I1248">
        <v>80</v>
      </c>
      <c r="J1248">
        <f t="shared" si="57"/>
        <v>-14</v>
      </c>
      <c r="K1248" t="s">
        <v>20</v>
      </c>
      <c r="L1248">
        <f t="shared" si="58"/>
        <v>1</v>
      </c>
      <c r="M1248">
        <v>8</v>
      </c>
      <c r="N1248">
        <v>1</v>
      </c>
      <c r="O1248">
        <f t="shared" si="59"/>
        <v>1</v>
      </c>
    </row>
    <row r="1249" spans="1:15" x14ac:dyDescent="0.3">
      <c r="A1249" t="s">
        <v>15</v>
      </c>
      <c r="B1249" t="s">
        <v>258</v>
      </c>
      <c r="C1249" t="s">
        <v>259</v>
      </c>
      <c r="D1249">
        <v>1</v>
      </c>
      <c r="E1249" t="s">
        <v>71</v>
      </c>
      <c r="F1249" t="s">
        <v>72</v>
      </c>
      <c r="G1249">
        <v>97</v>
      </c>
      <c r="H1249">
        <v>0</v>
      </c>
      <c r="I1249">
        <v>97</v>
      </c>
      <c r="J1249">
        <f t="shared" si="57"/>
        <v>0</v>
      </c>
      <c r="K1249" t="s">
        <v>20</v>
      </c>
      <c r="L1249">
        <f t="shared" si="58"/>
        <v>1</v>
      </c>
      <c r="M1249">
        <v>10</v>
      </c>
      <c r="N1249">
        <v>1</v>
      </c>
      <c r="O1249">
        <f t="shared" si="59"/>
        <v>0</v>
      </c>
    </row>
    <row r="1250" spans="1:15" x14ac:dyDescent="0.3">
      <c r="A1250" t="s">
        <v>15</v>
      </c>
      <c r="B1250" t="s">
        <v>258</v>
      </c>
      <c r="C1250" t="s">
        <v>259</v>
      </c>
      <c r="D1250">
        <v>1</v>
      </c>
      <c r="E1250" t="s">
        <v>49</v>
      </c>
      <c r="F1250" t="s">
        <v>50</v>
      </c>
      <c r="G1250">
        <v>95</v>
      </c>
      <c r="H1250">
        <v>0</v>
      </c>
      <c r="I1250">
        <v>95</v>
      </c>
      <c r="J1250">
        <f t="shared" si="57"/>
        <v>0</v>
      </c>
      <c r="K1250" t="s">
        <v>20</v>
      </c>
      <c r="L1250">
        <f t="shared" si="58"/>
        <v>1</v>
      </c>
      <c r="M1250">
        <v>10</v>
      </c>
      <c r="N1250">
        <v>1</v>
      </c>
      <c r="O1250">
        <f t="shared" si="59"/>
        <v>0</v>
      </c>
    </row>
    <row r="1251" spans="1:15" x14ac:dyDescent="0.3">
      <c r="A1251" t="s">
        <v>15</v>
      </c>
      <c r="B1251" t="s">
        <v>258</v>
      </c>
      <c r="C1251" t="s">
        <v>259</v>
      </c>
      <c r="D1251">
        <v>1</v>
      </c>
      <c r="E1251" t="s">
        <v>51</v>
      </c>
      <c r="F1251" t="s">
        <v>52</v>
      </c>
      <c r="G1251">
        <v>87</v>
      </c>
      <c r="H1251">
        <v>0</v>
      </c>
      <c r="I1251">
        <v>87</v>
      </c>
      <c r="J1251">
        <f t="shared" si="57"/>
        <v>0</v>
      </c>
      <c r="K1251" t="s">
        <v>20</v>
      </c>
      <c r="L1251">
        <f t="shared" si="58"/>
        <v>1</v>
      </c>
      <c r="M1251">
        <v>9</v>
      </c>
      <c r="N1251">
        <v>1</v>
      </c>
      <c r="O1251">
        <f t="shared" si="59"/>
        <v>0</v>
      </c>
    </row>
    <row r="1252" spans="1:15" x14ac:dyDescent="0.3">
      <c r="A1252" t="s">
        <v>15</v>
      </c>
      <c r="B1252" t="s">
        <v>258</v>
      </c>
      <c r="C1252" t="s">
        <v>259</v>
      </c>
      <c r="D1252">
        <v>1</v>
      </c>
      <c r="E1252" t="s">
        <v>53</v>
      </c>
      <c r="F1252" t="s">
        <v>54</v>
      </c>
      <c r="G1252">
        <v>43</v>
      </c>
      <c r="H1252">
        <v>36</v>
      </c>
      <c r="I1252">
        <v>79</v>
      </c>
      <c r="J1252">
        <f t="shared" si="57"/>
        <v>7</v>
      </c>
      <c r="K1252" t="s">
        <v>20</v>
      </c>
      <c r="L1252">
        <f t="shared" si="58"/>
        <v>1</v>
      </c>
      <c r="M1252">
        <v>8</v>
      </c>
      <c r="N1252">
        <v>4</v>
      </c>
      <c r="O1252">
        <f t="shared" si="59"/>
        <v>1</v>
      </c>
    </row>
    <row r="1253" spans="1:15" x14ac:dyDescent="0.3">
      <c r="A1253" t="s">
        <v>15</v>
      </c>
      <c r="B1253" t="s">
        <v>258</v>
      </c>
      <c r="C1253" t="s">
        <v>259</v>
      </c>
      <c r="D1253">
        <v>1</v>
      </c>
      <c r="E1253" t="s">
        <v>55</v>
      </c>
      <c r="F1253" t="s">
        <v>56</v>
      </c>
      <c r="G1253">
        <v>37</v>
      </c>
      <c r="H1253">
        <v>37</v>
      </c>
      <c r="I1253">
        <v>74</v>
      </c>
      <c r="J1253">
        <f t="shared" si="57"/>
        <v>0</v>
      </c>
      <c r="K1253" t="s">
        <v>20</v>
      </c>
      <c r="L1253">
        <f t="shared" si="58"/>
        <v>1</v>
      </c>
      <c r="M1253">
        <v>8</v>
      </c>
      <c r="N1253">
        <v>3</v>
      </c>
      <c r="O1253">
        <f t="shared" si="59"/>
        <v>1</v>
      </c>
    </row>
    <row r="1254" spans="1:15" x14ac:dyDescent="0.3">
      <c r="A1254" t="s">
        <v>15</v>
      </c>
      <c r="B1254" t="s">
        <v>258</v>
      </c>
      <c r="C1254" t="s">
        <v>259</v>
      </c>
      <c r="D1254">
        <v>1</v>
      </c>
      <c r="E1254" t="s">
        <v>57</v>
      </c>
      <c r="F1254" t="s">
        <v>58</v>
      </c>
      <c r="G1254">
        <v>45</v>
      </c>
      <c r="H1254">
        <v>44</v>
      </c>
      <c r="I1254">
        <v>89</v>
      </c>
      <c r="J1254">
        <f t="shared" si="57"/>
        <v>1</v>
      </c>
      <c r="K1254" t="s">
        <v>20</v>
      </c>
      <c r="L1254">
        <f t="shared" si="58"/>
        <v>1</v>
      </c>
      <c r="M1254">
        <v>10</v>
      </c>
      <c r="N1254">
        <v>4</v>
      </c>
      <c r="O1254">
        <f t="shared" si="59"/>
        <v>1</v>
      </c>
    </row>
    <row r="1255" spans="1:15" x14ac:dyDescent="0.3">
      <c r="A1255" t="s">
        <v>15</v>
      </c>
      <c r="B1255" t="s">
        <v>260</v>
      </c>
      <c r="C1255" t="s">
        <v>261</v>
      </c>
      <c r="D1255">
        <v>2</v>
      </c>
      <c r="E1255" t="s">
        <v>18</v>
      </c>
      <c r="F1255" t="s">
        <v>19</v>
      </c>
      <c r="G1255">
        <v>46</v>
      </c>
      <c r="H1255">
        <v>34</v>
      </c>
      <c r="I1255">
        <v>80</v>
      </c>
      <c r="J1255">
        <f t="shared" si="57"/>
        <v>12</v>
      </c>
      <c r="K1255" t="s">
        <v>20</v>
      </c>
      <c r="L1255">
        <f t="shared" si="58"/>
        <v>1</v>
      </c>
      <c r="M1255">
        <v>8</v>
      </c>
      <c r="N1255">
        <v>4</v>
      </c>
      <c r="O1255">
        <f t="shared" si="59"/>
        <v>1</v>
      </c>
    </row>
    <row r="1256" spans="1:15" x14ac:dyDescent="0.3">
      <c r="A1256" t="s">
        <v>15</v>
      </c>
      <c r="B1256" t="s">
        <v>260</v>
      </c>
      <c r="C1256" t="s">
        <v>261</v>
      </c>
      <c r="D1256">
        <v>2</v>
      </c>
      <c r="E1256" t="s">
        <v>21</v>
      </c>
      <c r="F1256" t="s">
        <v>22</v>
      </c>
      <c r="G1256">
        <v>40</v>
      </c>
      <c r="H1256">
        <v>29</v>
      </c>
      <c r="I1256">
        <v>69</v>
      </c>
      <c r="J1256">
        <f t="shared" si="57"/>
        <v>11</v>
      </c>
      <c r="K1256" t="s">
        <v>20</v>
      </c>
      <c r="L1256">
        <f t="shared" si="58"/>
        <v>1</v>
      </c>
      <c r="M1256">
        <v>7</v>
      </c>
      <c r="N1256">
        <v>4</v>
      </c>
      <c r="O1256">
        <f t="shared" si="59"/>
        <v>1</v>
      </c>
    </row>
    <row r="1257" spans="1:15" x14ac:dyDescent="0.3">
      <c r="A1257" t="s">
        <v>15</v>
      </c>
      <c r="B1257" t="s">
        <v>260</v>
      </c>
      <c r="C1257" t="s">
        <v>261</v>
      </c>
      <c r="D1257">
        <v>2</v>
      </c>
      <c r="E1257" t="s">
        <v>23</v>
      </c>
      <c r="F1257" t="s">
        <v>24</v>
      </c>
      <c r="G1257">
        <v>81</v>
      </c>
      <c r="H1257">
        <v>0</v>
      </c>
      <c r="I1257">
        <v>81</v>
      </c>
      <c r="J1257">
        <f t="shared" si="57"/>
        <v>0</v>
      </c>
      <c r="K1257" t="s">
        <v>20</v>
      </c>
      <c r="L1257">
        <f t="shared" si="58"/>
        <v>1</v>
      </c>
      <c r="M1257">
        <v>9</v>
      </c>
      <c r="N1257">
        <v>1</v>
      </c>
      <c r="O1257">
        <f t="shared" si="59"/>
        <v>0</v>
      </c>
    </row>
    <row r="1258" spans="1:15" x14ac:dyDescent="0.3">
      <c r="A1258" t="s">
        <v>15</v>
      </c>
      <c r="B1258" t="s">
        <v>260</v>
      </c>
      <c r="C1258" t="s">
        <v>261</v>
      </c>
      <c r="D1258">
        <v>2</v>
      </c>
      <c r="E1258" t="s">
        <v>25</v>
      </c>
      <c r="F1258" t="s">
        <v>26</v>
      </c>
      <c r="G1258">
        <v>36</v>
      </c>
      <c r="H1258">
        <v>30</v>
      </c>
      <c r="I1258">
        <v>66</v>
      </c>
      <c r="J1258">
        <f t="shared" si="57"/>
        <v>6</v>
      </c>
      <c r="K1258" t="s">
        <v>20</v>
      </c>
      <c r="L1258">
        <f t="shared" si="58"/>
        <v>1</v>
      </c>
      <c r="M1258">
        <v>7</v>
      </c>
      <c r="N1258">
        <v>1</v>
      </c>
      <c r="O1258">
        <f t="shared" si="59"/>
        <v>1</v>
      </c>
    </row>
    <row r="1259" spans="1:15" x14ac:dyDescent="0.3">
      <c r="A1259" t="s">
        <v>15</v>
      </c>
      <c r="B1259" t="s">
        <v>260</v>
      </c>
      <c r="C1259" t="s">
        <v>261</v>
      </c>
      <c r="D1259">
        <v>2</v>
      </c>
      <c r="E1259" t="s">
        <v>27</v>
      </c>
      <c r="F1259" t="s">
        <v>28</v>
      </c>
      <c r="G1259">
        <v>30</v>
      </c>
      <c r="H1259">
        <v>42</v>
      </c>
      <c r="I1259">
        <v>72</v>
      </c>
      <c r="J1259">
        <f t="shared" si="57"/>
        <v>-12</v>
      </c>
      <c r="K1259" t="s">
        <v>20</v>
      </c>
      <c r="L1259">
        <f t="shared" si="58"/>
        <v>1</v>
      </c>
      <c r="M1259">
        <v>7</v>
      </c>
      <c r="N1259">
        <v>2</v>
      </c>
      <c r="O1259">
        <f t="shared" si="59"/>
        <v>1</v>
      </c>
    </row>
    <row r="1260" spans="1:15" x14ac:dyDescent="0.3">
      <c r="A1260" t="s">
        <v>15</v>
      </c>
      <c r="B1260" t="s">
        <v>260</v>
      </c>
      <c r="C1260" t="s">
        <v>261</v>
      </c>
      <c r="D1260">
        <v>2</v>
      </c>
      <c r="E1260" t="s">
        <v>105</v>
      </c>
      <c r="F1260" t="s">
        <v>106</v>
      </c>
      <c r="G1260">
        <v>79</v>
      </c>
      <c r="H1260">
        <v>0</v>
      </c>
      <c r="I1260">
        <v>79</v>
      </c>
      <c r="J1260">
        <f t="shared" si="57"/>
        <v>0</v>
      </c>
      <c r="K1260" t="s">
        <v>20</v>
      </c>
      <c r="L1260">
        <f t="shared" si="58"/>
        <v>1</v>
      </c>
      <c r="M1260">
        <v>8</v>
      </c>
      <c r="N1260">
        <v>1</v>
      </c>
      <c r="O1260">
        <f t="shared" si="59"/>
        <v>0</v>
      </c>
    </row>
    <row r="1261" spans="1:15" x14ac:dyDescent="0.3">
      <c r="A1261" t="s">
        <v>15</v>
      </c>
      <c r="B1261" t="s">
        <v>260</v>
      </c>
      <c r="C1261" t="s">
        <v>261</v>
      </c>
      <c r="D1261">
        <v>2</v>
      </c>
      <c r="E1261" t="s">
        <v>31</v>
      </c>
      <c r="F1261" t="s">
        <v>32</v>
      </c>
      <c r="G1261">
        <v>92</v>
      </c>
      <c r="H1261">
        <v>0</v>
      </c>
      <c r="I1261">
        <v>92</v>
      </c>
      <c r="J1261">
        <f t="shared" si="57"/>
        <v>0</v>
      </c>
      <c r="K1261" t="s">
        <v>20</v>
      </c>
      <c r="L1261">
        <f t="shared" si="58"/>
        <v>1</v>
      </c>
      <c r="M1261">
        <v>10</v>
      </c>
      <c r="N1261">
        <v>1</v>
      </c>
      <c r="O1261">
        <f t="shared" si="59"/>
        <v>0</v>
      </c>
    </row>
    <row r="1262" spans="1:15" x14ac:dyDescent="0.3">
      <c r="A1262" t="s">
        <v>15</v>
      </c>
      <c r="B1262" t="s">
        <v>260</v>
      </c>
      <c r="C1262" t="s">
        <v>261</v>
      </c>
      <c r="D1262">
        <v>2</v>
      </c>
      <c r="E1262" t="s">
        <v>33</v>
      </c>
      <c r="F1262" t="s">
        <v>34</v>
      </c>
      <c r="G1262">
        <v>38</v>
      </c>
      <c r="H1262">
        <v>27</v>
      </c>
      <c r="I1262">
        <v>65</v>
      </c>
      <c r="J1262">
        <f t="shared" si="57"/>
        <v>11</v>
      </c>
      <c r="K1262" t="s">
        <v>20</v>
      </c>
      <c r="L1262">
        <f t="shared" si="58"/>
        <v>1</v>
      </c>
      <c r="M1262">
        <v>7</v>
      </c>
      <c r="N1262">
        <v>4</v>
      </c>
      <c r="O1262">
        <f t="shared" si="59"/>
        <v>1</v>
      </c>
    </row>
    <row r="1263" spans="1:15" x14ac:dyDescent="0.3">
      <c r="A1263" t="s">
        <v>15</v>
      </c>
      <c r="B1263" t="s">
        <v>260</v>
      </c>
      <c r="C1263" t="s">
        <v>261</v>
      </c>
      <c r="D1263">
        <v>2</v>
      </c>
      <c r="E1263" t="s">
        <v>35</v>
      </c>
      <c r="F1263" t="s">
        <v>36</v>
      </c>
      <c r="G1263">
        <v>27</v>
      </c>
      <c r="H1263">
        <v>30</v>
      </c>
      <c r="I1263">
        <v>57</v>
      </c>
      <c r="J1263">
        <f t="shared" si="57"/>
        <v>-3</v>
      </c>
      <c r="K1263" t="s">
        <v>20</v>
      </c>
      <c r="L1263">
        <f t="shared" si="58"/>
        <v>1</v>
      </c>
      <c r="M1263">
        <v>6</v>
      </c>
      <c r="N1263">
        <v>3</v>
      </c>
      <c r="O1263">
        <f t="shared" si="59"/>
        <v>1</v>
      </c>
    </row>
    <row r="1264" spans="1:15" x14ac:dyDescent="0.3">
      <c r="A1264" t="s">
        <v>15</v>
      </c>
      <c r="B1264" t="s">
        <v>260</v>
      </c>
      <c r="C1264" t="s">
        <v>261</v>
      </c>
      <c r="D1264">
        <v>2</v>
      </c>
      <c r="E1264" t="s">
        <v>37</v>
      </c>
      <c r="F1264" t="s">
        <v>38</v>
      </c>
      <c r="G1264">
        <v>29</v>
      </c>
      <c r="H1264">
        <v>30</v>
      </c>
      <c r="I1264">
        <v>59</v>
      </c>
      <c r="J1264">
        <f t="shared" si="57"/>
        <v>-1</v>
      </c>
      <c r="K1264" t="s">
        <v>20</v>
      </c>
      <c r="L1264">
        <f t="shared" si="58"/>
        <v>1</v>
      </c>
      <c r="M1264">
        <v>6</v>
      </c>
      <c r="N1264">
        <v>3</v>
      </c>
      <c r="O1264">
        <f t="shared" si="59"/>
        <v>1</v>
      </c>
    </row>
    <row r="1265" spans="1:15" x14ac:dyDescent="0.3">
      <c r="A1265" t="s">
        <v>15</v>
      </c>
      <c r="B1265" t="s">
        <v>260</v>
      </c>
      <c r="C1265" t="s">
        <v>261</v>
      </c>
      <c r="D1265">
        <v>1</v>
      </c>
      <c r="E1265" t="s">
        <v>39</v>
      </c>
      <c r="F1265" t="s">
        <v>40</v>
      </c>
      <c r="G1265">
        <v>91</v>
      </c>
      <c r="H1265">
        <v>0</v>
      </c>
      <c r="I1265">
        <v>91</v>
      </c>
      <c r="J1265">
        <f t="shared" si="57"/>
        <v>0</v>
      </c>
      <c r="K1265" t="s">
        <v>20</v>
      </c>
      <c r="L1265">
        <f t="shared" si="58"/>
        <v>1</v>
      </c>
      <c r="M1265">
        <v>10</v>
      </c>
      <c r="N1265">
        <v>1</v>
      </c>
      <c r="O1265">
        <f t="shared" si="59"/>
        <v>0</v>
      </c>
    </row>
    <row r="1266" spans="1:15" x14ac:dyDescent="0.3">
      <c r="A1266" t="s">
        <v>15</v>
      </c>
      <c r="B1266" t="s">
        <v>260</v>
      </c>
      <c r="C1266" t="s">
        <v>261</v>
      </c>
      <c r="D1266">
        <v>1</v>
      </c>
      <c r="E1266" t="s">
        <v>41</v>
      </c>
      <c r="F1266" t="s">
        <v>42</v>
      </c>
      <c r="G1266">
        <v>25</v>
      </c>
      <c r="H1266">
        <v>33</v>
      </c>
      <c r="I1266">
        <v>58</v>
      </c>
      <c r="J1266">
        <f t="shared" si="57"/>
        <v>-8</v>
      </c>
      <c r="K1266" t="s">
        <v>20</v>
      </c>
      <c r="L1266">
        <f t="shared" si="58"/>
        <v>1</v>
      </c>
      <c r="M1266">
        <v>8</v>
      </c>
      <c r="N1266">
        <v>3</v>
      </c>
      <c r="O1266">
        <f t="shared" si="59"/>
        <v>1</v>
      </c>
    </row>
    <row r="1267" spans="1:15" x14ac:dyDescent="0.3">
      <c r="A1267" t="s">
        <v>15</v>
      </c>
      <c r="B1267" t="s">
        <v>260</v>
      </c>
      <c r="C1267" t="s">
        <v>261</v>
      </c>
      <c r="D1267">
        <v>1</v>
      </c>
      <c r="E1267" t="s">
        <v>43</v>
      </c>
      <c r="F1267" t="s">
        <v>44</v>
      </c>
      <c r="G1267">
        <v>50</v>
      </c>
      <c r="H1267">
        <v>0</v>
      </c>
      <c r="I1267">
        <v>50</v>
      </c>
      <c r="J1267">
        <f t="shared" si="57"/>
        <v>0</v>
      </c>
      <c r="K1267" t="s">
        <v>20</v>
      </c>
      <c r="L1267">
        <f t="shared" si="58"/>
        <v>1</v>
      </c>
      <c r="M1267">
        <v>5</v>
      </c>
      <c r="N1267">
        <v>1</v>
      </c>
      <c r="O1267">
        <f t="shared" si="59"/>
        <v>0</v>
      </c>
    </row>
    <row r="1268" spans="1:15" x14ac:dyDescent="0.3">
      <c r="A1268" t="s">
        <v>15</v>
      </c>
      <c r="B1268" t="s">
        <v>260</v>
      </c>
      <c r="C1268" t="s">
        <v>261</v>
      </c>
      <c r="D1268">
        <v>1</v>
      </c>
      <c r="E1268" t="s">
        <v>45</v>
      </c>
      <c r="F1268" t="s">
        <v>46</v>
      </c>
      <c r="G1268">
        <v>26</v>
      </c>
      <c r="H1268">
        <v>37</v>
      </c>
      <c r="I1268">
        <v>63</v>
      </c>
      <c r="J1268">
        <f t="shared" si="57"/>
        <v>-11</v>
      </c>
      <c r="K1268" t="s">
        <v>20</v>
      </c>
      <c r="L1268">
        <f t="shared" si="58"/>
        <v>1</v>
      </c>
      <c r="M1268">
        <v>7</v>
      </c>
      <c r="N1268">
        <v>1</v>
      </c>
      <c r="O1268">
        <f t="shared" si="59"/>
        <v>1</v>
      </c>
    </row>
    <row r="1269" spans="1:15" x14ac:dyDescent="0.3">
      <c r="A1269" t="s">
        <v>15</v>
      </c>
      <c r="B1269" t="s">
        <v>260</v>
      </c>
      <c r="C1269" t="s">
        <v>261</v>
      </c>
      <c r="D1269">
        <v>1</v>
      </c>
      <c r="E1269" t="s">
        <v>246</v>
      </c>
      <c r="F1269" t="s">
        <v>247</v>
      </c>
      <c r="G1269">
        <v>63</v>
      </c>
      <c r="H1269">
        <v>0</v>
      </c>
      <c r="I1269">
        <v>63</v>
      </c>
      <c r="J1269">
        <f t="shared" si="57"/>
        <v>0</v>
      </c>
      <c r="K1269" t="s">
        <v>20</v>
      </c>
      <c r="L1269">
        <f t="shared" si="58"/>
        <v>1</v>
      </c>
      <c r="M1269">
        <v>7</v>
      </c>
      <c r="N1269">
        <v>1</v>
      </c>
      <c r="O1269">
        <f t="shared" si="59"/>
        <v>0</v>
      </c>
    </row>
    <row r="1270" spans="1:15" x14ac:dyDescent="0.3">
      <c r="A1270" t="s">
        <v>15</v>
      </c>
      <c r="B1270" t="s">
        <v>260</v>
      </c>
      <c r="C1270" t="s">
        <v>261</v>
      </c>
      <c r="D1270">
        <v>1</v>
      </c>
      <c r="E1270" t="s">
        <v>49</v>
      </c>
      <c r="F1270" t="s">
        <v>50</v>
      </c>
      <c r="G1270">
        <v>100</v>
      </c>
      <c r="H1270">
        <v>0</v>
      </c>
      <c r="I1270">
        <v>100</v>
      </c>
      <c r="J1270">
        <f t="shared" si="57"/>
        <v>0</v>
      </c>
      <c r="K1270" t="s">
        <v>20</v>
      </c>
      <c r="L1270">
        <f t="shared" si="58"/>
        <v>1</v>
      </c>
      <c r="M1270">
        <v>10</v>
      </c>
      <c r="N1270">
        <v>1</v>
      </c>
      <c r="O1270">
        <f t="shared" si="59"/>
        <v>0</v>
      </c>
    </row>
    <row r="1271" spans="1:15" x14ac:dyDescent="0.3">
      <c r="A1271" t="s">
        <v>15</v>
      </c>
      <c r="B1271" t="s">
        <v>260</v>
      </c>
      <c r="C1271" t="s">
        <v>261</v>
      </c>
      <c r="D1271">
        <v>1</v>
      </c>
      <c r="E1271" t="s">
        <v>51</v>
      </c>
      <c r="F1271" t="s">
        <v>52</v>
      </c>
      <c r="G1271">
        <v>88</v>
      </c>
      <c r="H1271">
        <v>0</v>
      </c>
      <c r="I1271">
        <v>88</v>
      </c>
      <c r="J1271">
        <f t="shared" si="57"/>
        <v>0</v>
      </c>
      <c r="K1271" t="s">
        <v>20</v>
      </c>
      <c r="L1271">
        <f t="shared" si="58"/>
        <v>1</v>
      </c>
      <c r="M1271">
        <v>9</v>
      </c>
      <c r="N1271">
        <v>1</v>
      </c>
      <c r="O1271">
        <f t="shared" si="59"/>
        <v>0</v>
      </c>
    </row>
    <row r="1272" spans="1:15" x14ac:dyDescent="0.3">
      <c r="A1272" t="s">
        <v>15</v>
      </c>
      <c r="B1272" t="s">
        <v>260</v>
      </c>
      <c r="C1272" t="s">
        <v>261</v>
      </c>
      <c r="D1272">
        <v>1</v>
      </c>
      <c r="E1272" t="s">
        <v>53</v>
      </c>
      <c r="F1272" t="s">
        <v>54</v>
      </c>
      <c r="G1272">
        <v>41</v>
      </c>
      <c r="H1272">
        <v>32</v>
      </c>
      <c r="I1272">
        <v>73</v>
      </c>
      <c r="J1272">
        <f t="shared" si="57"/>
        <v>9</v>
      </c>
      <c r="K1272" t="s">
        <v>20</v>
      </c>
      <c r="L1272">
        <f t="shared" si="58"/>
        <v>1</v>
      </c>
      <c r="M1272">
        <v>7</v>
      </c>
      <c r="N1272">
        <v>4</v>
      </c>
      <c r="O1272">
        <f t="shared" si="59"/>
        <v>1</v>
      </c>
    </row>
    <row r="1273" spans="1:15" x14ac:dyDescent="0.3">
      <c r="A1273" t="s">
        <v>15</v>
      </c>
      <c r="B1273" t="s">
        <v>260</v>
      </c>
      <c r="C1273" t="s">
        <v>261</v>
      </c>
      <c r="D1273">
        <v>1</v>
      </c>
      <c r="E1273" t="s">
        <v>55</v>
      </c>
      <c r="F1273" t="s">
        <v>56</v>
      </c>
      <c r="G1273">
        <v>36</v>
      </c>
      <c r="H1273">
        <v>34</v>
      </c>
      <c r="I1273">
        <v>70</v>
      </c>
      <c r="J1273">
        <f t="shared" si="57"/>
        <v>2</v>
      </c>
      <c r="K1273" t="s">
        <v>20</v>
      </c>
      <c r="L1273">
        <f t="shared" si="58"/>
        <v>1</v>
      </c>
      <c r="M1273">
        <v>7</v>
      </c>
      <c r="N1273">
        <v>3</v>
      </c>
      <c r="O1273">
        <f t="shared" si="59"/>
        <v>1</v>
      </c>
    </row>
    <row r="1274" spans="1:15" x14ac:dyDescent="0.3">
      <c r="A1274" t="s">
        <v>15</v>
      </c>
      <c r="B1274" t="s">
        <v>260</v>
      </c>
      <c r="C1274" t="s">
        <v>261</v>
      </c>
      <c r="D1274">
        <v>1</v>
      </c>
      <c r="E1274" t="s">
        <v>57</v>
      </c>
      <c r="F1274" t="s">
        <v>58</v>
      </c>
      <c r="G1274">
        <v>36</v>
      </c>
      <c r="H1274">
        <v>30</v>
      </c>
      <c r="I1274">
        <v>66</v>
      </c>
      <c r="J1274">
        <f t="shared" si="57"/>
        <v>6</v>
      </c>
      <c r="K1274" t="s">
        <v>20</v>
      </c>
      <c r="L1274">
        <f t="shared" si="58"/>
        <v>1</v>
      </c>
      <c r="M1274">
        <v>7</v>
      </c>
      <c r="N1274">
        <v>4</v>
      </c>
      <c r="O1274">
        <f t="shared" si="59"/>
        <v>1</v>
      </c>
    </row>
    <row r="1275" spans="1:15" x14ac:dyDescent="0.3">
      <c r="A1275" t="s">
        <v>15</v>
      </c>
      <c r="B1275" t="s">
        <v>262</v>
      </c>
      <c r="C1275" t="s">
        <v>263</v>
      </c>
      <c r="D1275">
        <v>2</v>
      </c>
      <c r="E1275" t="s">
        <v>18</v>
      </c>
      <c r="F1275" t="s">
        <v>19</v>
      </c>
      <c r="G1275">
        <v>43</v>
      </c>
      <c r="H1275">
        <v>25</v>
      </c>
      <c r="I1275">
        <v>68</v>
      </c>
      <c r="J1275">
        <f t="shared" si="57"/>
        <v>18</v>
      </c>
      <c r="K1275" t="s">
        <v>20</v>
      </c>
      <c r="L1275">
        <f t="shared" si="58"/>
        <v>1</v>
      </c>
      <c r="M1275">
        <v>7</v>
      </c>
      <c r="N1275">
        <v>4</v>
      </c>
      <c r="O1275">
        <f t="shared" si="59"/>
        <v>1</v>
      </c>
    </row>
    <row r="1276" spans="1:15" x14ac:dyDescent="0.3">
      <c r="A1276" t="s">
        <v>15</v>
      </c>
      <c r="B1276" t="s">
        <v>262</v>
      </c>
      <c r="C1276" t="s">
        <v>263</v>
      </c>
      <c r="D1276">
        <v>2</v>
      </c>
      <c r="E1276" t="s">
        <v>21</v>
      </c>
      <c r="F1276" t="s">
        <v>22</v>
      </c>
      <c r="G1276">
        <v>40</v>
      </c>
      <c r="H1276">
        <v>27</v>
      </c>
      <c r="I1276">
        <v>67</v>
      </c>
      <c r="J1276">
        <f t="shared" si="57"/>
        <v>13</v>
      </c>
      <c r="K1276" t="s">
        <v>20</v>
      </c>
      <c r="L1276">
        <f t="shared" si="58"/>
        <v>1</v>
      </c>
      <c r="M1276">
        <v>7</v>
      </c>
      <c r="N1276">
        <v>4</v>
      </c>
      <c r="O1276">
        <f t="shared" si="59"/>
        <v>1</v>
      </c>
    </row>
    <row r="1277" spans="1:15" x14ac:dyDescent="0.3">
      <c r="A1277" t="s">
        <v>15</v>
      </c>
      <c r="B1277" t="s">
        <v>262</v>
      </c>
      <c r="C1277" t="s">
        <v>263</v>
      </c>
      <c r="D1277">
        <v>2</v>
      </c>
      <c r="E1277" t="s">
        <v>23</v>
      </c>
      <c r="F1277" t="s">
        <v>24</v>
      </c>
      <c r="G1277">
        <v>84</v>
      </c>
      <c r="H1277">
        <v>0</v>
      </c>
      <c r="I1277">
        <v>84</v>
      </c>
      <c r="J1277">
        <f t="shared" si="57"/>
        <v>0</v>
      </c>
      <c r="K1277" t="s">
        <v>20</v>
      </c>
      <c r="L1277">
        <f t="shared" si="58"/>
        <v>1</v>
      </c>
      <c r="M1277">
        <v>9</v>
      </c>
      <c r="N1277">
        <v>1</v>
      </c>
      <c r="O1277">
        <f t="shared" si="59"/>
        <v>0</v>
      </c>
    </row>
    <row r="1278" spans="1:15" x14ac:dyDescent="0.3">
      <c r="A1278" t="s">
        <v>15</v>
      </c>
      <c r="B1278" t="s">
        <v>262</v>
      </c>
      <c r="C1278" t="s">
        <v>263</v>
      </c>
      <c r="D1278">
        <v>2</v>
      </c>
      <c r="E1278" t="s">
        <v>25</v>
      </c>
      <c r="F1278" t="s">
        <v>26</v>
      </c>
      <c r="G1278">
        <v>33</v>
      </c>
      <c r="H1278">
        <v>31</v>
      </c>
      <c r="I1278">
        <v>64</v>
      </c>
      <c r="J1278">
        <f t="shared" si="57"/>
        <v>2</v>
      </c>
      <c r="K1278" t="s">
        <v>20</v>
      </c>
      <c r="L1278">
        <f t="shared" si="58"/>
        <v>1</v>
      </c>
      <c r="M1278">
        <v>7</v>
      </c>
      <c r="N1278">
        <v>1</v>
      </c>
      <c r="O1278">
        <f t="shared" si="59"/>
        <v>1</v>
      </c>
    </row>
    <row r="1279" spans="1:15" x14ac:dyDescent="0.3">
      <c r="A1279" t="s">
        <v>15</v>
      </c>
      <c r="B1279" t="s">
        <v>262</v>
      </c>
      <c r="C1279" t="s">
        <v>263</v>
      </c>
      <c r="D1279">
        <v>2</v>
      </c>
      <c r="E1279" t="s">
        <v>27</v>
      </c>
      <c r="F1279" t="s">
        <v>28</v>
      </c>
      <c r="G1279">
        <v>26</v>
      </c>
      <c r="H1279">
        <v>31</v>
      </c>
      <c r="I1279">
        <v>57</v>
      </c>
      <c r="J1279">
        <f t="shared" si="57"/>
        <v>-5</v>
      </c>
      <c r="K1279" t="s">
        <v>20</v>
      </c>
      <c r="L1279">
        <f t="shared" si="58"/>
        <v>1</v>
      </c>
      <c r="M1279">
        <v>6</v>
      </c>
      <c r="N1279">
        <v>2</v>
      </c>
      <c r="O1279">
        <f t="shared" si="59"/>
        <v>1</v>
      </c>
    </row>
    <row r="1280" spans="1:15" x14ac:dyDescent="0.3">
      <c r="A1280" t="s">
        <v>15</v>
      </c>
      <c r="B1280" t="s">
        <v>262</v>
      </c>
      <c r="C1280" t="s">
        <v>263</v>
      </c>
      <c r="D1280">
        <v>2</v>
      </c>
      <c r="E1280" t="s">
        <v>217</v>
      </c>
      <c r="F1280" t="s">
        <v>218</v>
      </c>
      <c r="G1280">
        <v>82</v>
      </c>
      <c r="H1280">
        <v>0</v>
      </c>
      <c r="I1280">
        <v>82</v>
      </c>
      <c r="J1280">
        <f t="shared" si="57"/>
        <v>0</v>
      </c>
      <c r="K1280" t="s">
        <v>20</v>
      </c>
      <c r="L1280">
        <f t="shared" si="58"/>
        <v>1</v>
      </c>
      <c r="M1280">
        <v>9</v>
      </c>
      <c r="N1280">
        <v>1</v>
      </c>
      <c r="O1280">
        <f t="shared" si="59"/>
        <v>0</v>
      </c>
    </row>
    <row r="1281" spans="1:15" x14ac:dyDescent="0.3">
      <c r="A1281" t="s">
        <v>15</v>
      </c>
      <c r="B1281" t="s">
        <v>262</v>
      </c>
      <c r="C1281" t="s">
        <v>263</v>
      </c>
      <c r="D1281">
        <v>2</v>
      </c>
      <c r="E1281" t="s">
        <v>31</v>
      </c>
      <c r="F1281" t="s">
        <v>32</v>
      </c>
      <c r="G1281">
        <v>92</v>
      </c>
      <c r="H1281">
        <v>0</v>
      </c>
      <c r="I1281">
        <v>92</v>
      </c>
      <c r="J1281">
        <f t="shared" si="57"/>
        <v>0</v>
      </c>
      <c r="K1281" t="s">
        <v>20</v>
      </c>
      <c r="L1281">
        <f t="shared" si="58"/>
        <v>1</v>
      </c>
      <c r="M1281">
        <v>10</v>
      </c>
      <c r="N1281">
        <v>1</v>
      </c>
      <c r="O1281">
        <f t="shared" si="59"/>
        <v>0</v>
      </c>
    </row>
    <row r="1282" spans="1:15" x14ac:dyDescent="0.3">
      <c r="A1282" t="s">
        <v>15</v>
      </c>
      <c r="B1282" t="s">
        <v>262</v>
      </c>
      <c r="C1282" t="s">
        <v>263</v>
      </c>
      <c r="D1282">
        <v>2</v>
      </c>
      <c r="E1282" t="s">
        <v>33</v>
      </c>
      <c r="F1282" t="s">
        <v>34</v>
      </c>
      <c r="G1282">
        <v>35</v>
      </c>
      <c r="H1282">
        <v>23</v>
      </c>
      <c r="I1282">
        <v>58</v>
      </c>
      <c r="J1282">
        <f t="shared" ref="J1282:J1350" si="60">IF(H1282=0,0,G1282-H1282)</f>
        <v>12</v>
      </c>
      <c r="K1282" t="s">
        <v>20</v>
      </c>
      <c r="L1282">
        <f t="shared" ref="L1282:L1345" si="61">IF(K1282="Pass",1,0)</f>
        <v>1</v>
      </c>
      <c r="M1282">
        <v>7</v>
      </c>
      <c r="N1282">
        <v>4</v>
      </c>
      <c r="O1282">
        <f t="shared" ref="O1282:O1350" si="62">IF(H1282=0,0,1)</f>
        <v>1</v>
      </c>
    </row>
    <row r="1283" spans="1:15" x14ac:dyDescent="0.3">
      <c r="A1283" t="s">
        <v>15</v>
      </c>
      <c r="B1283" t="s">
        <v>262</v>
      </c>
      <c r="C1283" t="s">
        <v>263</v>
      </c>
      <c r="D1283">
        <v>2</v>
      </c>
      <c r="E1283" t="s">
        <v>35</v>
      </c>
      <c r="F1283" t="s">
        <v>36</v>
      </c>
      <c r="G1283">
        <v>29</v>
      </c>
      <c r="H1283">
        <v>34</v>
      </c>
      <c r="I1283">
        <v>63</v>
      </c>
      <c r="J1283">
        <f t="shared" si="60"/>
        <v>-5</v>
      </c>
      <c r="K1283" t="s">
        <v>20</v>
      </c>
      <c r="L1283">
        <f t="shared" si="61"/>
        <v>1</v>
      </c>
      <c r="M1283">
        <v>6</v>
      </c>
      <c r="N1283">
        <v>3</v>
      </c>
      <c r="O1283">
        <f t="shared" si="62"/>
        <v>1</v>
      </c>
    </row>
    <row r="1284" spans="1:15" x14ac:dyDescent="0.3">
      <c r="A1284" t="s">
        <v>15</v>
      </c>
      <c r="B1284" t="s">
        <v>262</v>
      </c>
      <c r="C1284" t="s">
        <v>263</v>
      </c>
      <c r="D1284">
        <v>2</v>
      </c>
      <c r="E1284" t="s">
        <v>37</v>
      </c>
      <c r="F1284" t="s">
        <v>38</v>
      </c>
      <c r="G1284">
        <v>30</v>
      </c>
      <c r="H1284">
        <v>37</v>
      </c>
      <c r="I1284">
        <v>67</v>
      </c>
      <c r="J1284">
        <f t="shared" si="60"/>
        <v>-7</v>
      </c>
      <c r="K1284" t="s">
        <v>20</v>
      </c>
      <c r="L1284">
        <f t="shared" si="61"/>
        <v>1</v>
      </c>
      <c r="M1284">
        <v>7</v>
      </c>
      <c r="N1284">
        <v>3</v>
      </c>
      <c r="O1284">
        <f t="shared" si="62"/>
        <v>1</v>
      </c>
    </row>
    <row r="1285" spans="1:15" x14ac:dyDescent="0.3">
      <c r="A1285" t="s">
        <v>15</v>
      </c>
      <c r="B1285" t="s">
        <v>262</v>
      </c>
      <c r="C1285" t="s">
        <v>263</v>
      </c>
      <c r="D1285">
        <v>1</v>
      </c>
      <c r="E1285" t="s">
        <v>39</v>
      </c>
      <c r="F1285" t="s">
        <v>40</v>
      </c>
      <c r="G1285">
        <v>94</v>
      </c>
      <c r="H1285">
        <v>0</v>
      </c>
      <c r="I1285">
        <v>94</v>
      </c>
      <c r="J1285">
        <f t="shared" si="60"/>
        <v>0</v>
      </c>
      <c r="K1285" t="s">
        <v>20</v>
      </c>
      <c r="L1285">
        <f t="shared" si="61"/>
        <v>1</v>
      </c>
      <c r="M1285">
        <v>10</v>
      </c>
      <c r="N1285">
        <v>1</v>
      </c>
      <c r="O1285">
        <f t="shared" si="62"/>
        <v>0</v>
      </c>
    </row>
    <row r="1286" spans="1:15" x14ac:dyDescent="0.3">
      <c r="A1286" t="s">
        <v>15</v>
      </c>
      <c r="B1286" t="s">
        <v>262</v>
      </c>
      <c r="C1286" t="s">
        <v>263</v>
      </c>
      <c r="D1286">
        <v>1</v>
      </c>
      <c r="E1286" t="s">
        <v>41</v>
      </c>
      <c r="F1286" t="s">
        <v>42</v>
      </c>
      <c r="G1286">
        <v>20</v>
      </c>
      <c r="H1286">
        <v>30</v>
      </c>
      <c r="I1286">
        <v>50</v>
      </c>
      <c r="J1286">
        <f t="shared" si="60"/>
        <v>-10</v>
      </c>
      <c r="K1286" t="s">
        <v>20</v>
      </c>
      <c r="L1286">
        <f t="shared" si="61"/>
        <v>1</v>
      </c>
      <c r="M1286">
        <v>5</v>
      </c>
      <c r="N1286">
        <v>3</v>
      </c>
      <c r="O1286">
        <f t="shared" si="62"/>
        <v>1</v>
      </c>
    </row>
    <row r="1287" spans="1:15" x14ac:dyDescent="0.3">
      <c r="A1287" t="s">
        <v>15</v>
      </c>
      <c r="B1287" t="s">
        <v>262</v>
      </c>
      <c r="C1287" t="s">
        <v>263</v>
      </c>
      <c r="D1287">
        <v>1</v>
      </c>
      <c r="E1287" t="s">
        <v>43</v>
      </c>
      <c r="F1287" t="s">
        <v>44</v>
      </c>
      <c r="G1287">
        <v>87</v>
      </c>
      <c r="H1287">
        <v>0</v>
      </c>
      <c r="I1287">
        <v>87</v>
      </c>
      <c r="J1287">
        <f t="shared" si="60"/>
        <v>0</v>
      </c>
      <c r="K1287" t="s">
        <v>20</v>
      </c>
      <c r="L1287">
        <f t="shared" si="61"/>
        <v>1</v>
      </c>
      <c r="M1287">
        <v>9</v>
      </c>
      <c r="N1287">
        <v>1</v>
      </c>
      <c r="O1287">
        <f t="shared" si="62"/>
        <v>0</v>
      </c>
    </row>
    <row r="1288" spans="1:15" x14ac:dyDescent="0.3">
      <c r="A1288" t="s">
        <v>15</v>
      </c>
      <c r="B1288" t="s">
        <v>262</v>
      </c>
      <c r="C1288" t="s">
        <v>263</v>
      </c>
      <c r="D1288">
        <v>1</v>
      </c>
      <c r="E1288" t="s">
        <v>45</v>
      </c>
      <c r="F1288" t="s">
        <v>46</v>
      </c>
      <c r="G1288">
        <v>30</v>
      </c>
      <c r="H1288">
        <v>38</v>
      </c>
      <c r="I1288">
        <v>68</v>
      </c>
      <c r="J1288">
        <f t="shared" si="60"/>
        <v>-8</v>
      </c>
      <c r="K1288" t="s">
        <v>20</v>
      </c>
      <c r="L1288">
        <f t="shared" si="61"/>
        <v>1</v>
      </c>
      <c r="M1288">
        <v>7</v>
      </c>
      <c r="N1288">
        <v>1</v>
      </c>
      <c r="O1288">
        <f t="shared" si="62"/>
        <v>1</v>
      </c>
    </row>
    <row r="1289" spans="1:15" x14ac:dyDescent="0.3">
      <c r="A1289" t="s">
        <v>15</v>
      </c>
      <c r="B1289" t="s">
        <v>262</v>
      </c>
      <c r="C1289" t="s">
        <v>263</v>
      </c>
      <c r="D1289">
        <v>1</v>
      </c>
      <c r="E1289" t="s">
        <v>264</v>
      </c>
      <c r="F1289" t="s">
        <v>265</v>
      </c>
      <c r="G1289">
        <v>75</v>
      </c>
      <c r="H1289">
        <v>0</v>
      </c>
      <c r="I1289">
        <v>75</v>
      </c>
      <c r="J1289">
        <f t="shared" si="60"/>
        <v>0</v>
      </c>
      <c r="K1289" t="s">
        <v>20</v>
      </c>
      <c r="L1289">
        <f t="shared" si="61"/>
        <v>1</v>
      </c>
      <c r="M1289">
        <v>8</v>
      </c>
      <c r="N1289">
        <v>1</v>
      </c>
      <c r="O1289">
        <f t="shared" si="62"/>
        <v>0</v>
      </c>
    </row>
    <row r="1290" spans="1:15" x14ac:dyDescent="0.3">
      <c r="A1290" t="s">
        <v>15</v>
      </c>
      <c r="B1290" t="s">
        <v>262</v>
      </c>
      <c r="C1290" t="s">
        <v>263</v>
      </c>
      <c r="D1290">
        <v>1</v>
      </c>
      <c r="E1290" t="s">
        <v>49</v>
      </c>
      <c r="F1290" t="s">
        <v>50</v>
      </c>
      <c r="G1290">
        <v>80</v>
      </c>
      <c r="H1290">
        <v>0</v>
      </c>
      <c r="I1290">
        <v>80</v>
      </c>
      <c r="J1290">
        <f t="shared" si="60"/>
        <v>0</v>
      </c>
      <c r="K1290" t="s">
        <v>20</v>
      </c>
      <c r="L1290">
        <f t="shared" si="61"/>
        <v>1</v>
      </c>
      <c r="M1290">
        <v>8</v>
      </c>
      <c r="N1290">
        <v>1</v>
      </c>
      <c r="O1290">
        <f t="shared" si="62"/>
        <v>0</v>
      </c>
    </row>
    <row r="1291" spans="1:15" x14ac:dyDescent="0.3">
      <c r="A1291" t="s">
        <v>15</v>
      </c>
      <c r="B1291" t="s">
        <v>262</v>
      </c>
      <c r="C1291" t="s">
        <v>263</v>
      </c>
      <c r="D1291">
        <v>1</v>
      </c>
      <c r="E1291" t="s">
        <v>51</v>
      </c>
      <c r="F1291" t="s">
        <v>52</v>
      </c>
      <c r="G1291">
        <v>82</v>
      </c>
      <c r="H1291">
        <v>0</v>
      </c>
      <c r="I1291">
        <v>82</v>
      </c>
      <c r="J1291">
        <f t="shared" si="60"/>
        <v>0</v>
      </c>
      <c r="K1291" t="s">
        <v>20</v>
      </c>
      <c r="L1291">
        <f t="shared" si="61"/>
        <v>1</v>
      </c>
      <c r="M1291">
        <v>9</v>
      </c>
      <c r="N1291">
        <v>1</v>
      </c>
      <c r="O1291">
        <f t="shared" si="62"/>
        <v>0</v>
      </c>
    </row>
    <row r="1292" spans="1:15" x14ac:dyDescent="0.3">
      <c r="A1292" t="s">
        <v>15</v>
      </c>
      <c r="B1292" t="s">
        <v>262</v>
      </c>
      <c r="C1292" t="s">
        <v>263</v>
      </c>
      <c r="D1292">
        <v>1</v>
      </c>
      <c r="E1292" t="s">
        <v>53</v>
      </c>
      <c r="F1292" t="s">
        <v>54</v>
      </c>
      <c r="G1292">
        <v>39</v>
      </c>
      <c r="H1292">
        <v>26</v>
      </c>
      <c r="I1292">
        <v>65</v>
      </c>
      <c r="J1292">
        <f t="shared" si="60"/>
        <v>13</v>
      </c>
      <c r="K1292" t="s">
        <v>20</v>
      </c>
      <c r="L1292">
        <f t="shared" si="61"/>
        <v>1</v>
      </c>
      <c r="M1292">
        <v>7</v>
      </c>
      <c r="N1292">
        <v>4</v>
      </c>
      <c r="O1292">
        <f t="shared" si="62"/>
        <v>1</v>
      </c>
    </row>
    <row r="1293" spans="1:15" x14ac:dyDescent="0.3">
      <c r="A1293" t="s">
        <v>15</v>
      </c>
      <c r="B1293" t="s">
        <v>262</v>
      </c>
      <c r="C1293" t="s">
        <v>263</v>
      </c>
      <c r="D1293">
        <v>1</v>
      </c>
      <c r="E1293" t="s">
        <v>55</v>
      </c>
      <c r="F1293" t="s">
        <v>56</v>
      </c>
      <c r="G1293">
        <v>35</v>
      </c>
      <c r="H1293">
        <v>30</v>
      </c>
      <c r="I1293">
        <v>65</v>
      </c>
      <c r="J1293">
        <f t="shared" si="60"/>
        <v>5</v>
      </c>
      <c r="K1293" t="s">
        <v>20</v>
      </c>
      <c r="L1293">
        <f t="shared" si="61"/>
        <v>1</v>
      </c>
      <c r="M1293">
        <v>7</v>
      </c>
      <c r="N1293">
        <v>3</v>
      </c>
      <c r="O1293">
        <f t="shared" si="62"/>
        <v>1</v>
      </c>
    </row>
    <row r="1294" spans="1:15" x14ac:dyDescent="0.3">
      <c r="A1294" t="s">
        <v>15</v>
      </c>
      <c r="B1294" t="s">
        <v>262</v>
      </c>
      <c r="C1294" t="s">
        <v>263</v>
      </c>
      <c r="D1294">
        <v>1</v>
      </c>
      <c r="E1294" t="s">
        <v>57</v>
      </c>
      <c r="F1294" t="s">
        <v>58</v>
      </c>
      <c r="G1294">
        <v>38</v>
      </c>
      <c r="H1294">
        <v>41</v>
      </c>
      <c r="I1294">
        <v>79</v>
      </c>
      <c r="J1294">
        <f t="shared" si="60"/>
        <v>-3</v>
      </c>
      <c r="K1294" t="s">
        <v>20</v>
      </c>
      <c r="L1294">
        <f t="shared" si="61"/>
        <v>1</v>
      </c>
      <c r="M1294">
        <v>8</v>
      </c>
      <c r="N1294">
        <v>4</v>
      </c>
      <c r="O1294">
        <f t="shared" si="62"/>
        <v>1</v>
      </c>
    </row>
    <row r="1295" spans="1:15" x14ac:dyDescent="0.3">
      <c r="A1295" t="s">
        <v>15</v>
      </c>
      <c r="B1295" t="s">
        <v>266</v>
      </c>
      <c r="C1295" t="s">
        <v>267</v>
      </c>
      <c r="D1295">
        <v>2</v>
      </c>
      <c r="E1295" t="s">
        <v>18</v>
      </c>
      <c r="F1295" t="s">
        <v>19</v>
      </c>
      <c r="G1295">
        <v>46</v>
      </c>
      <c r="H1295">
        <v>34</v>
      </c>
      <c r="I1295">
        <v>80</v>
      </c>
      <c r="J1295">
        <f t="shared" si="60"/>
        <v>12</v>
      </c>
      <c r="K1295" t="s">
        <v>20</v>
      </c>
      <c r="L1295">
        <f t="shared" si="61"/>
        <v>1</v>
      </c>
      <c r="M1295">
        <v>8</v>
      </c>
      <c r="N1295">
        <v>4</v>
      </c>
      <c r="O1295">
        <f t="shared" si="62"/>
        <v>1</v>
      </c>
    </row>
    <row r="1296" spans="1:15" x14ac:dyDescent="0.3">
      <c r="A1296" t="s">
        <v>15</v>
      </c>
      <c r="B1296" t="s">
        <v>266</v>
      </c>
      <c r="C1296" t="s">
        <v>267</v>
      </c>
      <c r="D1296">
        <v>2</v>
      </c>
      <c r="E1296" t="s">
        <v>21</v>
      </c>
      <c r="F1296" t="s">
        <v>22</v>
      </c>
      <c r="G1296">
        <v>42</v>
      </c>
      <c r="H1296">
        <v>35</v>
      </c>
      <c r="I1296">
        <v>77</v>
      </c>
      <c r="J1296">
        <f t="shared" si="60"/>
        <v>7</v>
      </c>
      <c r="K1296" t="s">
        <v>20</v>
      </c>
      <c r="L1296">
        <f t="shared" si="61"/>
        <v>1</v>
      </c>
      <c r="M1296">
        <v>8</v>
      </c>
      <c r="N1296">
        <v>4</v>
      </c>
      <c r="O1296">
        <f t="shared" si="62"/>
        <v>1</v>
      </c>
    </row>
    <row r="1297" spans="1:15" x14ac:dyDescent="0.3">
      <c r="A1297" t="s">
        <v>15</v>
      </c>
      <c r="B1297" t="s">
        <v>266</v>
      </c>
      <c r="C1297" t="s">
        <v>267</v>
      </c>
      <c r="D1297">
        <v>2</v>
      </c>
      <c r="E1297" t="s">
        <v>23</v>
      </c>
      <c r="F1297" t="s">
        <v>24</v>
      </c>
      <c r="G1297">
        <v>85</v>
      </c>
      <c r="H1297">
        <v>0</v>
      </c>
      <c r="I1297">
        <v>85</v>
      </c>
      <c r="J1297">
        <f t="shared" si="60"/>
        <v>0</v>
      </c>
      <c r="K1297" t="s">
        <v>20</v>
      </c>
      <c r="L1297">
        <f t="shared" si="61"/>
        <v>1</v>
      </c>
      <c r="M1297">
        <v>9</v>
      </c>
      <c r="N1297">
        <v>1</v>
      </c>
      <c r="O1297">
        <f t="shared" si="62"/>
        <v>0</v>
      </c>
    </row>
    <row r="1298" spans="1:15" x14ac:dyDescent="0.3">
      <c r="A1298" t="s">
        <v>15</v>
      </c>
      <c r="B1298" t="s">
        <v>266</v>
      </c>
      <c r="C1298" t="s">
        <v>267</v>
      </c>
      <c r="D1298">
        <v>2</v>
      </c>
      <c r="E1298" t="s">
        <v>25</v>
      </c>
      <c r="F1298" t="s">
        <v>26</v>
      </c>
      <c r="G1298">
        <v>36</v>
      </c>
      <c r="H1298">
        <v>31</v>
      </c>
      <c r="I1298">
        <v>67</v>
      </c>
      <c r="J1298">
        <f t="shared" si="60"/>
        <v>5</v>
      </c>
      <c r="K1298" t="s">
        <v>20</v>
      </c>
      <c r="L1298">
        <f t="shared" si="61"/>
        <v>1</v>
      </c>
      <c r="M1298">
        <v>7</v>
      </c>
      <c r="N1298">
        <v>1</v>
      </c>
      <c r="O1298">
        <f t="shared" si="62"/>
        <v>1</v>
      </c>
    </row>
    <row r="1299" spans="1:15" x14ac:dyDescent="0.3">
      <c r="A1299" t="s">
        <v>15</v>
      </c>
      <c r="B1299" t="s">
        <v>266</v>
      </c>
      <c r="C1299" t="s">
        <v>267</v>
      </c>
      <c r="D1299">
        <v>2</v>
      </c>
      <c r="E1299" t="s">
        <v>27</v>
      </c>
      <c r="F1299" t="s">
        <v>28</v>
      </c>
      <c r="G1299">
        <v>33</v>
      </c>
      <c r="H1299">
        <v>33</v>
      </c>
      <c r="I1299">
        <v>66</v>
      </c>
      <c r="J1299">
        <f t="shared" si="60"/>
        <v>0</v>
      </c>
      <c r="K1299" t="s">
        <v>20</v>
      </c>
      <c r="L1299">
        <f t="shared" si="61"/>
        <v>1</v>
      </c>
      <c r="M1299">
        <v>7</v>
      </c>
      <c r="N1299">
        <v>2</v>
      </c>
      <c r="O1299">
        <f t="shared" si="62"/>
        <v>1</v>
      </c>
    </row>
    <row r="1300" spans="1:15" x14ac:dyDescent="0.3">
      <c r="A1300" t="s">
        <v>15</v>
      </c>
      <c r="B1300" t="s">
        <v>266</v>
      </c>
      <c r="C1300" t="s">
        <v>267</v>
      </c>
      <c r="D1300">
        <v>2</v>
      </c>
      <c r="E1300" t="s">
        <v>187</v>
      </c>
      <c r="F1300" t="s">
        <v>188</v>
      </c>
      <c r="G1300">
        <v>87</v>
      </c>
      <c r="H1300">
        <v>0</v>
      </c>
      <c r="I1300">
        <v>87</v>
      </c>
      <c r="J1300">
        <f t="shared" si="60"/>
        <v>0</v>
      </c>
      <c r="K1300" t="s">
        <v>20</v>
      </c>
      <c r="L1300">
        <f t="shared" si="61"/>
        <v>1</v>
      </c>
      <c r="M1300">
        <v>9</v>
      </c>
      <c r="N1300">
        <v>1</v>
      </c>
      <c r="O1300">
        <f t="shared" si="62"/>
        <v>0</v>
      </c>
    </row>
    <row r="1301" spans="1:15" x14ac:dyDescent="0.3">
      <c r="A1301" t="s">
        <v>15</v>
      </c>
      <c r="B1301" t="s">
        <v>266</v>
      </c>
      <c r="C1301" t="s">
        <v>267</v>
      </c>
      <c r="D1301">
        <v>2</v>
      </c>
      <c r="E1301" t="s">
        <v>31</v>
      </c>
      <c r="F1301" t="s">
        <v>32</v>
      </c>
      <c r="G1301">
        <v>92</v>
      </c>
      <c r="H1301">
        <v>0</v>
      </c>
      <c r="I1301">
        <v>92</v>
      </c>
      <c r="J1301">
        <f t="shared" si="60"/>
        <v>0</v>
      </c>
      <c r="K1301" t="s">
        <v>20</v>
      </c>
      <c r="L1301">
        <f t="shared" si="61"/>
        <v>1</v>
      </c>
      <c r="M1301">
        <v>10</v>
      </c>
      <c r="N1301">
        <v>1</v>
      </c>
      <c r="O1301">
        <f t="shared" si="62"/>
        <v>0</v>
      </c>
    </row>
    <row r="1302" spans="1:15" x14ac:dyDescent="0.3">
      <c r="A1302" t="s">
        <v>15</v>
      </c>
      <c r="B1302" t="s">
        <v>266</v>
      </c>
      <c r="C1302" t="s">
        <v>267</v>
      </c>
      <c r="D1302">
        <v>2</v>
      </c>
      <c r="E1302" t="s">
        <v>33</v>
      </c>
      <c r="F1302" t="s">
        <v>34</v>
      </c>
      <c r="G1302">
        <v>47</v>
      </c>
      <c r="H1302">
        <v>37</v>
      </c>
      <c r="I1302">
        <v>84</v>
      </c>
      <c r="J1302">
        <f t="shared" si="60"/>
        <v>10</v>
      </c>
      <c r="K1302" t="s">
        <v>20</v>
      </c>
      <c r="L1302">
        <f t="shared" si="61"/>
        <v>1</v>
      </c>
      <c r="M1302">
        <v>8</v>
      </c>
      <c r="N1302">
        <v>4</v>
      </c>
      <c r="O1302">
        <f t="shared" si="62"/>
        <v>1</v>
      </c>
    </row>
    <row r="1303" spans="1:15" x14ac:dyDescent="0.3">
      <c r="A1303" t="s">
        <v>15</v>
      </c>
      <c r="B1303" t="s">
        <v>266</v>
      </c>
      <c r="C1303" t="s">
        <v>267</v>
      </c>
      <c r="D1303">
        <v>2</v>
      </c>
      <c r="E1303" t="s">
        <v>35</v>
      </c>
      <c r="F1303" t="s">
        <v>36</v>
      </c>
      <c r="G1303">
        <v>26</v>
      </c>
      <c r="H1303">
        <v>48</v>
      </c>
      <c r="I1303">
        <v>74</v>
      </c>
      <c r="J1303">
        <f t="shared" si="60"/>
        <v>-22</v>
      </c>
      <c r="K1303" t="s">
        <v>20</v>
      </c>
      <c r="L1303">
        <f t="shared" si="61"/>
        <v>1</v>
      </c>
      <c r="M1303">
        <v>8</v>
      </c>
      <c r="N1303">
        <v>3</v>
      </c>
      <c r="O1303">
        <f t="shared" si="62"/>
        <v>1</v>
      </c>
    </row>
    <row r="1304" spans="1:15" x14ac:dyDescent="0.3">
      <c r="A1304" t="s">
        <v>15</v>
      </c>
      <c r="B1304" t="s">
        <v>266</v>
      </c>
      <c r="C1304" t="s">
        <v>267</v>
      </c>
      <c r="D1304">
        <v>2</v>
      </c>
      <c r="E1304" t="s">
        <v>37</v>
      </c>
      <c r="F1304" t="s">
        <v>38</v>
      </c>
      <c r="G1304">
        <v>34</v>
      </c>
      <c r="H1304">
        <v>50</v>
      </c>
      <c r="I1304">
        <v>84</v>
      </c>
      <c r="J1304">
        <f t="shared" si="60"/>
        <v>-16</v>
      </c>
      <c r="K1304" t="s">
        <v>20</v>
      </c>
      <c r="L1304">
        <f t="shared" si="61"/>
        <v>1</v>
      </c>
      <c r="M1304">
        <v>8</v>
      </c>
      <c r="N1304">
        <v>3</v>
      </c>
      <c r="O1304">
        <f t="shared" si="62"/>
        <v>1</v>
      </c>
    </row>
    <row r="1305" spans="1:15" x14ac:dyDescent="0.3">
      <c r="A1305" t="s">
        <v>15</v>
      </c>
      <c r="B1305" t="s">
        <v>266</v>
      </c>
      <c r="C1305" t="s">
        <v>267</v>
      </c>
      <c r="D1305">
        <v>1</v>
      </c>
      <c r="E1305" t="s">
        <v>39</v>
      </c>
      <c r="F1305" t="s">
        <v>40</v>
      </c>
      <c r="G1305">
        <v>89</v>
      </c>
      <c r="H1305">
        <v>0</v>
      </c>
      <c r="I1305">
        <v>89</v>
      </c>
      <c r="J1305">
        <f t="shared" si="60"/>
        <v>0</v>
      </c>
      <c r="K1305" t="s">
        <v>20</v>
      </c>
      <c r="L1305">
        <f t="shared" si="61"/>
        <v>1</v>
      </c>
      <c r="M1305">
        <v>9</v>
      </c>
      <c r="N1305">
        <v>1</v>
      </c>
      <c r="O1305">
        <f t="shared" si="62"/>
        <v>0</v>
      </c>
    </row>
    <row r="1306" spans="1:15" x14ac:dyDescent="0.3">
      <c r="A1306" t="s">
        <v>15</v>
      </c>
      <c r="B1306" t="s">
        <v>266</v>
      </c>
      <c r="C1306" t="s">
        <v>267</v>
      </c>
      <c r="D1306">
        <v>1</v>
      </c>
      <c r="E1306" t="s">
        <v>41</v>
      </c>
      <c r="F1306" t="s">
        <v>42</v>
      </c>
      <c r="G1306">
        <v>26</v>
      </c>
      <c r="H1306">
        <v>30</v>
      </c>
      <c r="I1306">
        <v>56</v>
      </c>
      <c r="J1306">
        <f t="shared" si="60"/>
        <v>-4</v>
      </c>
      <c r="K1306" t="s">
        <v>20</v>
      </c>
      <c r="L1306">
        <f t="shared" si="61"/>
        <v>1</v>
      </c>
      <c r="M1306">
        <v>7</v>
      </c>
      <c r="N1306">
        <v>3</v>
      </c>
      <c r="O1306">
        <f t="shared" si="62"/>
        <v>1</v>
      </c>
    </row>
    <row r="1307" spans="1:15" x14ac:dyDescent="0.3">
      <c r="A1307" t="s">
        <v>15</v>
      </c>
      <c r="B1307" t="s">
        <v>266</v>
      </c>
      <c r="C1307" t="s">
        <v>267</v>
      </c>
      <c r="D1307">
        <v>1</v>
      </c>
      <c r="E1307" t="s">
        <v>43</v>
      </c>
      <c r="F1307" t="s">
        <v>44</v>
      </c>
      <c r="G1307">
        <v>64</v>
      </c>
      <c r="H1307">
        <v>0</v>
      </c>
      <c r="I1307">
        <v>64</v>
      </c>
      <c r="J1307">
        <f t="shared" si="60"/>
        <v>0</v>
      </c>
      <c r="K1307" t="s">
        <v>20</v>
      </c>
      <c r="L1307">
        <f t="shared" si="61"/>
        <v>1</v>
      </c>
      <c r="M1307">
        <v>7</v>
      </c>
      <c r="N1307">
        <v>1</v>
      </c>
      <c r="O1307">
        <f t="shared" si="62"/>
        <v>0</v>
      </c>
    </row>
    <row r="1308" spans="1:15" x14ac:dyDescent="0.3">
      <c r="A1308" t="s">
        <v>15</v>
      </c>
      <c r="B1308" t="s">
        <v>266</v>
      </c>
      <c r="C1308" t="s">
        <v>267</v>
      </c>
      <c r="D1308">
        <v>1</v>
      </c>
      <c r="E1308" t="s">
        <v>45</v>
      </c>
      <c r="F1308" t="s">
        <v>46</v>
      </c>
      <c r="G1308">
        <v>26</v>
      </c>
      <c r="H1308">
        <v>42</v>
      </c>
      <c r="I1308">
        <v>68</v>
      </c>
      <c r="J1308">
        <f t="shared" si="60"/>
        <v>-16</v>
      </c>
      <c r="K1308" t="s">
        <v>20</v>
      </c>
      <c r="L1308">
        <f t="shared" si="61"/>
        <v>1</v>
      </c>
      <c r="M1308">
        <v>7</v>
      </c>
      <c r="N1308">
        <v>1</v>
      </c>
      <c r="O1308">
        <f t="shared" si="62"/>
        <v>1</v>
      </c>
    </row>
    <row r="1309" spans="1:15" x14ac:dyDescent="0.3">
      <c r="A1309" t="s">
        <v>15</v>
      </c>
      <c r="B1309" t="s">
        <v>266</v>
      </c>
      <c r="C1309" t="s">
        <v>267</v>
      </c>
      <c r="D1309">
        <v>1</v>
      </c>
      <c r="E1309" t="s">
        <v>268</v>
      </c>
      <c r="F1309" t="s">
        <v>269</v>
      </c>
      <c r="G1309">
        <v>90</v>
      </c>
      <c r="H1309">
        <v>0</v>
      </c>
      <c r="I1309">
        <v>90</v>
      </c>
      <c r="J1309">
        <f t="shared" si="60"/>
        <v>0</v>
      </c>
      <c r="K1309" t="s">
        <v>20</v>
      </c>
      <c r="L1309">
        <f t="shared" si="61"/>
        <v>1</v>
      </c>
      <c r="M1309">
        <v>9</v>
      </c>
      <c r="N1309">
        <v>1</v>
      </c>
      <c r="O1309">
        <f t="shared" si="62"/>
        <v>0</v>
      </c>
    </row>
    <row r="1310" spans="1:15" x14ac:dyDescent="0.3">
      <c r="A1310" t="s">
        <v>15</v>
      </c>
      <c r="B1310" t="s">
        <v>266</v>
      </c>
      <c r="C1310" t="s">
        <v>267</v>
      </c>
      <c r="D1310">
        <v>1</v>
      </c>
      <c r="E1310" t="s">
        <v>49</v>
      </c>
      <c r="F1310" t="s">
        <v>50</v>
      </c>
      <c r="G1310">
        <v>100</v>
      </c>
      <c r="H1310">
        <v>0</v>
      </c>
      <c r="I1310">
        <v>100</v>
      </c>
      <c r="J1310">
        <f t="shared" si="60"/>
        <v>0</v>
      </c>
      <c r="K1310" t="s">
        <v>20</v>
      </c>
      <c r="L1310">
        <f t="shared" si="61"/>
        <v>1</v>
      </c>
      <c r="M1310">
        <v>10</v>
      </c>
      <c r="N1310">
        <v>1</v>
      </c>
      <c r="O1310">
        <f t="shared" si="62"/>
        <v>0</v>
      </c>
    </row>
    <row r="1311" spans="1:15" x14ac:dyDescent="0.3">
      <c r="A1311" t="s">
        <v>15</v>
      </c>
      <c r="B1311" t="s">
        <v>266</v>
      </c>
      <c r="C1311" t="s">
        <v>267</v>
      </c>
      <c r="D1311">
        <v>1</v>
      </c>
      <c r="E1311" t="s">
        <v>51</v>
      </c>
      <c r="F1311" t="s">
        <v>52</v>
      </c>
      <c r="G1311">
        <v>88</v>
      </c>
      <c r="H1311">
        <v>0</v>
      </c>
      <c r="I1311">
        <v>88</v>
      </c>
      <c r="J1311">
        <f t="shared" si="60"/>
        <v>0</v>
      </c>
      <c r="K1311" t="s">
        <v>20</v>
      </c>
      <c r="L1311">
        <f t="shared" si="61"/>
        <v>1</v>
      </c>
      <c r="M1311">
        <v>9</v>
      </c>
      <c r="N1311">
        <v>1</v>
      </c>
      <c r="O1311">
        <f t="shared" si="62"/>
        <v>0</v>
      </c>
    </row>
    <row r="1312" spans="1:15" x14ac:dyDescent="0.3">
      <c r="A1312" t="s">
        <v>15</v>
      </c>
      <c r="B1312" t="s">
        <v>266</v>
      </c>
      <c r="C1312" t="s">
        <v>267</v>
      </c>
      <c r="D1312">
        <v>1</v>
      </c>
      <c r="E1312" t="s">
        <v>53</v>
      </c>
      <c r="F1312" t="s">
        <v>54</v>
      </c>
      <c r="G1312">
        <v>47</v>
      </c>
      <c r="H1312">
        <v>47</v>
      </c>
      <c r="I1312">
        <v>94</v>
      </c>
      <c r="J1312">
        <f t="shared" si="60"/>
        <v>0</v>
      </c>
      <c r="K1312" t="s">
        <v>20</v>
      </c>
      <c r="L1312">
        <f t="shared" si="61"/>
        <v>1</v>
      </c>
      <c r="M1312">
        <v>10</v>
      </c>
      <c r="N1312">
        <v>4</v>
      </c>
      <c r="O1312">
        <f t="shared" si="62"/>
        <v>1</v>
      </c>
    </row>
    <row r="1313" spans="1:15" x14ac:dyDescent="0.3">
      <c r="A1313" t="s">
        <v>15</v>
      </c>
      <c r="B1313" t="s">
        <v>266</v>
      </c>
      <c r="C1313" t="s">
        <v>267</v>
      </c>
      <c r="D1313">
        <v>1</v>
      </c>
      <c r="E1313" t="s">
        <v>55</v>
      </c>
      <c r="F1313" t="s">
        <v>56</v>
      </c>
      <c r="G1313">
        <v>37</v>
      </c>
      <c r="H1313">
        <v>40</v>
      </c>
      <c r="I1313">
        <v>77</v>
      </c>
      <c r="J1313">
        <f t="shared" si="60"/>
        <v>-3</v>
      </c>
      <c r="K1313" t="s">
        <v>20</v>
      </c>
      <c r="L1313">
        <f t="shared" si="61"/>
        <v>1</v>
      </c>
      <c r="M1313">
        <v>8</v>
      </c>
      <c r="N1313">
        <v>3</v>
      </c>
      <c r="O1313">
        <f t="shared" si="62"/>
        <v>1</v>
      </c>
    </row>
    <row r="1314" spans="1:15" x14ac:dyDescent="0.3">
      <c r="A1314" t="s">
        <v>15</v>
      </c>
      <c r="B1314" t="s">
        <v>266</v>
      </c>
      <c r="C1314" t="s">
        <v>267</v>
      </c>
      <c r="D1314">
        <v>1</v>
      </c>
      <c r="E1314" t="s">
        <v>57</v>
      </c>
      <c r="F1314" t="s">
        <v>58</v>
      </c>
      <c r="G1314">
        <v>39</v>
      </c>
      <c r="H1314">
        <v>43</v>
      </c>
      <c r="I1314">
        <v>82</v>
      </c>
      <c r="J1314">
        <f t="shared" si="60"/>
        <v>-4</v>
      </c>
      <c r="K1314" t="s">
        <v>20</v>
      </c>
      <c r="L1314">
        <f t="shared" si="61"/>
        <v>1</v>
      </c>
      <c r="M1314">
        <v>9</v>
      </c>
      <c r="N1314">
        <v>4</v>
      </c>
      <c r="O1314">
        <f t="shared" si="62"/>
        <v>1</v>
      </c>
    </row>
    <row r="1315" spans="1:15" x14ac:dyDescent="0.3">
      <c r="A1315" t="s">
        <v>15</v>
      </c>
      <c r="B1315" t="s">
        <v>270</v>
      </c>
      <c r="C1315" t="s">
        <v>271</v>
      </c>
      <c r="D1315">
        <v>2</v>
      </c>
      <c r="E1315" t="s">
        <v>18</v>
      </c>
      <c r="F1315" t="s">
        <v>19</v>
      </c>
      <c r="G1315">
        <v>46</v>
      </c>
      <c r="H1315">
        <v>35</v>
      </c>
      <c r="I1315">
        <v>81</v>
      </c>
      <c r="J1315">
        <f t="shared" si="60"/>
        <v>11</v>
      </c>
      <c r="K1315" t="s">
        <v>20</v>
      </c>
      <c r="L1315">
        <f t="shared" si="61"/>
        <v>1</v>
      </c>
      <c r="M1315">
        <v>8</v>
      </c>
      <c r="N1315">
        <v>4</v>
      </c>
      <c r="O1315">
        <f t="shared" si="62"/>
        <v>1</v>
      </c>
    </row>
    <row r="1316" spans="1:15" x14ac:dyDescent="0.3">
      <c r="A1316" t="s">
        <v>15</v>
      </c>
      <c r="B1316" t="s">
        <v>270</v>
      </c>
      <c r="C1316" t="s">
        <v>271</v>
      </c>
      <c r="D1316">
        <v>2</v>
      </c>
      <c r="E1316" t="s">
        <v>21</v>
      </c>
      <c r="F1316" t="s">
        <v>22</v>
      </c>
      <c r="G1316">
        <v>45</v>
      </c>
      <c r="H1316">
        <v>34</v>
      </c>
      <c r="I1316">
        <v>79</v>
      </c>
      <c r="J1316">
        <f t="shared" si="60"/>
        <v>11</v>
      </c>
      <c r="K1316" t="s">
        <v>20</v>
      </c>
      <c r="L1316">
        <f t="shared" si="61"/>
        <v>1</v>
      </c>
      <c r="M1316">
        <v>8</v>
      </c>
      <c r="N1316">
        <v>4</v>
      </c>
      <c r="O1316">
        <f t="shared" si="62"/>
        <v>1</v>
      </c>
    </row>
    <row r="1317" spans="1:15" x14ac:dyDescent="0.3">
      <c r="A1317" t="s">
        <v>15</v>
      </c>
      <c r="B1317" t="s">
        <v>270</v>
      </c>
      <c r="C1317" t="s">
        <v>271</v>
      </c>
      <c r="D1317">
        <v>2</v>
      </c>
      <c r="E1317" t="s">
        <v>25</v>
      </c>
      <c r="F1317" t="s">
        <v>26</v>
      </c>
      <c r="G1317">
        <v>41</v>
      </c>
      <c r="H1317">
        <v>35</v>
      </c>
      <c r="I1317">
        <v>76</v>
      </c>
      <c r="J1317">
        <f t="shared" si="60"/>
        <v>6</v>
      </c>
      <c r="K1317" t="s">
        <v>20</v>
      </c>
      <c r="L1317">
        <f t="shared" si="61"/>
        <v>1</v>
      </c>
      <c r="M1317">
        <v>8</v>
      </c>
      <c r="N1317">
        <v>1</v>
      </c>
      <c r="O1317">
        <f t="shared" si="62"/>
        <v>1</v>
      </c>
    </row>
    <row r="1318" spans="1:15" x14ac:dyDescent="0.3">
      <c r="A1318" t="s">
        <v>15</v>
      </c>
      <c r="B1318" t="s">
        <v>270</v>
      </c>
      <c r="C1318" t="s">
        <v>271</v>
      </c>
      <c r="D1318">
        <v>2</v>
      </c>
      <c r="E1318" t="s">
        <v>61</v>
      </c>
      <c r="F1318" t="s">
        <v>62</v>
      </c>
      <c r="G1318">
        <v>36</v>
      </c>
      <c r="H1318">
        <v>40</v>
      </c>
      <c r="I1318">
        <v>76</v>
      </c>
      <c r="J1318">
        <f t="shared" si="60"/>
        <v>-4</v>
      </c>
      <c r="K1318" t="s">
        <v>20</v>
      </c>
      <c r="L1318">
        <f t="shared" si="61"/>
        <v>1</v>
      </c>
      <c r="M1318">
        <v>8</v>
      </c>
      <c r="N1318">
        <v>2</v>
      </c>
      <c r="O1318">
        <f t="shared" si="62"/>
        <v>1</v>
      </c>
    </row>
    <row r="1319" spans="1:15" x14ac:dyDescent="0.3">
      <c r="A1319" t="s">
        <v>15</v>
      </c>
      <c r="B1319" t="s">
        <v>270</v>
      </c>
      <c r="C1319" t="s">
        <v>271</v>
      </c>
      <c r="D1319">
        <v>2</v>
      </c>
      <c r="E1319" t="s">
        <v>81</v>
      </c>
      <c r="F1319" t="s">
        <v>82</v>
      </c>
      <c r="G1319">
        <v>52</v>
      </c>
      <c r="H1319">
        <v>38</v>
      </c>
      <c r="I1319">
        <v>90</v>
      </c>
      <c r="J1319">
        <f t="shared" si="60"/>
        <v>14</v>
      </c>
      <c r="K1319" t="s">
        <v>20</v>
      </c>
      <c r="L1319">
        <f t="shared" si="61"/>
        <v>1</v>
      </c>
      <c r="M1319">
        <v>9</v>
      </c>
      <c r="N1319">
        <v>3</v>
      </c>
      <c r="O1319">
        <f t="shared" si="62"/>
        <v>1</v>
      </c>
    </row>
    <row r="1320" spans="1:15" x14ac:dyDescent="0.3">
      <c r="A1320" t="s">
        <v>15</v>
      </c>
      <c r="B1320" t="s">
        <v>270</v>
      </c>
      <c r="C1320" t="s">
        <v>271</v>
      </c>
      <c r="D1320">
        <v>2</v>
      </c>
      <c r="E1320" t="s">
        <v>33</v>
      </c>
      <c r="F1320" t="s">
        <v>34</v>
      </c>
      <c r="G1320">
        <v>45</v>
      </c>
      <c r="H1320">
        <v>39</v>
      </c>
      <c r="I1320">
        <v>84</v>
      </c>
      <c r="J1320">
        <f t="shared" si="60"/>
        <v>6</v>
      </c>
      <c r="K1320" t="s">
        <v>20</v>
      </c>
      <c r="L1320">
        <f t="shared" si="61"/>
        <v>1</v>
      </c>
      <c r="M1320">
        <v>8</v>
      </c>
      <c r="N1320">
        <v>4</v>
      </c>
      <c r="O1320">
        <f t="shared" si="62"/>
        <v>1</v>
      </c>
    </row>
    <row r="1321" spans="1:15" x14ac:dyDescent="0.3">
      <c r="A1321" t="s">
        <v>15</v>
      </c>
      <c r="B1321" t="s">
        <v>270</v>
      </c>
      <c r="C1321" t="s">
        <v>271</v>
      </c>
      <c r="D1321">
        <v>2</v>
      </c>
      <c r="E1321" t="s">
        <v>35</v>
      </c>
      <c r="F1321" t="s">
        <v>36</v>
      </c>
      <c r="G1321">
        <v>32</v>
      </c>
      <c r="H1321">
        <v>42</v>
      </c>
      <c r="I1321">
        <v>74</v>
      </c>
      <c r="J1321">
        <f t="shared" si="60"/>
        <v>-10</v>
      </c>
      <c r="K1321" t="s">
        <v>20</v>
      </c>
      <c r="L1321">
        <f t="shared" si="61"/>
        <v>1</v>
      </c>
      <c r="M1321">
        <v>8</v>
      </c>
      <c r="N1321">
        <v>3</v>
      </c>
      <c r="O1321">
        <f t="shared" si="62"/>
        <v>1</v>
      </c>
    </row>
    <row r="1322" spans="1:15" x14ac:dyDescent="0.3">
      <c r="A1322" t="s">
        <v>15</v>
      </c>
      <c r="B1322" t="s">
        <v>270</v>
      </c>
      <c r="C1322" t="s">
        <v>271</v>
      </c>
      <c r="D1322">
        <v>2</v>
      </c>
      <c r="E1322" t="s">
        <v>37</v>
      </c>
      <c r="F1322" t="s">
        <v>38</v>
      </c>
      <c r="G1322">
        <v>30</v>
      </c>
      <c r="H1322">
        <v>43</v>
      </c>
      <c r="I1322">
        <v>73</v>
      </c>
      <c r="J1322">
        <f t="shared" si="60"/>
        <v>-13</v>
      </c>
      <c r="K1322" t="s">
        <v>20</v>
      </c>
      <c r="L1322">
        <f t="shared" si="61"/>
        <v>1</v>
      </c>
      <c r="M1322">
        <v>8</v>
      </c>
      <c r="N1322">
        <v>3</v>
      </c>
      <c r="O1322">
        <f t="shared" si="62"/>
        <v>1</v>
      </c>
    </row>
    <row r="1323" spans="1:15" x14ac:dyDescent="0.3">
      <c r="A1323" t="s">
        <v>15</v>
      </c>
      <c r="B1323" t="s">
        <v>270</v>
      </c>
      <c r="C1323" t="s">
        <v>271</v>
      </c>
      <c r="D1323">
        <v>1</v>
      </c>
      <c r="E1323" t="s">
        <v>39</v>
      </c>
      <c r="F1323" t="s">
        <v>40</v>
      </c>
      <c r="G1323">
        <v>75</v>
      </c>
      <c r="H1323">
        <v>0</v>
      </c>
      <c r="I1323">
        <v>75</v>
      </c>
      <c r="J1323">
        <f t="shared" si="60"/>
        <v>0</v>
      </c>
      <c r="K1323" t="s">
        <v>20</v>
      </c>
      <c r="L1323">
        <f t="shared" si="61"/>
        <v>1</v>
      </c>
      <c r="M1323">
        <v>8</v>
      </c>
      <c r="N1323">
        <v>1</v>
      </c>
      <c r="O1323">
        <f t="shared" si="62"/>
        <v>0</v>
      </c>
    </row>
    <row r="1324" spans="1:15" x14ac:dyDescent="0.3">
      <c r="A1324" t="s">
        <v>15</v>
      </c>
      <c r="B1324" t="s">
        <v>270</v>
      </c>
      <c r="C1324" t="s">
        <v>271</v>
      </c>
      <c r="D1324">
        <v>1</v>
      </c>
      <c r="E1324" t="s">
        <v>41</v>
      </c>
      <c r="F1324" t="s">
        <v>42</v>
      </c>
      <c r="G1324">
        <v>33</v>
      </c>
      <c r="H1324">
        <v>40</v>
      </c>
      <c r="I1324">
        <v>73</v>
      </c>
      <c r="J1324">
        <f t="shared" si="60"/>
        <v>-7</v>
      </c>
      <c r="K1324" t="s">
        <v>20</v>
      </c>
      <c r="L1324">
        <f t="shared" si="61"/>
        <v>1</v>
      </c>
      <c r="M1324">
        <v>9</v>
      </c>
      <c r="N1324">
        <v>3</v>
      </c>
      <c r="O1324">
        <f t="shared" si="62"/>
        <v>1</v>
      </c>
    </row>
    <row r="1325" spans="1:15" x14ac:dyDescent="0.3">
      <c r="A1325" t="s">
        <v>15</v>
      </c>
      <c r="B1325" t="s">
        <v>270</v>
      </c>
      <c r="C1325" t="s">
        <v>271</v>
      </c>
      <c r="D1325">
        <v>1</v>
      </c>
      <c r="E1325" t="s">
        <v>43</v>
      </c>
      <c r="F1325" t="s">
        <v>44</v>
      </c>
      <c r="G1325">
        <v>90</v>
      </c>
      <c r="H1325">
        <v>0</v>
      </c>
      <c r="I1325">
        <v>90</v>
      </c>
      <c r="J1325">
        <f t="shared" si="60"/>
        <v>0</v>
      </c>
      <c r="K1325" t="s">
        <v>20</v>
      </c>
      <c r="L1325">
        <f t="shared" si="61"/>
        <v>1</v>
      </c>
      <c r="M1325">
        <v>9</v>
      </c>
      <c r="N1325">
        <v>1</v>
      </c>
      <c r="O1325">
        <f t="shared" si="62"/>
        <v>0</v>
      </c>
    </row>
    <row r="1326" spans="1:15" x14ac:dyDescent="0.3">
      <c r="A1326" t="s">
        <v>15</v>
      </c>
      <c r="B1326" t="s">
        <v>270</v>
      </c>
      <c r="C1326" t="s">
        <v>271</v>
      </c>
      <c r="D1326">
        <v>1</v>
      </c>
      <c r="E1326" t="s">
        <v>45</v>
      </c>
      <c r="F1326" t="s">
        <v>46</v>
      </c>
      <c r="G1326">
        <v>29</v>
      </c>
      <c r="H1326">
        <v>39</v>
      </c>
      <c r="I1326">
        <v>68</v>
      </c>
      <c r="J1326">
        <f t="shared" si="60"/>
        <v>-10</v>
      </c>
      <c r="K1326" t="s">
        <v>20</v>
      </c>
      <c r="L1326">
        <f t="shared" si="61"/>
        <v>1</v>
      </c>
      <c r="M1326">
        <v>7</v>
      </c>
      <c r="N1326">
        <v>1</v>
      </c>
      <c r="O1326">
        <f t="shared" si="62"/>
        <v>1</v>
      </c>
    </row>
    <row r="1327" spans="1:15" x14ac:dyDescent="0.3">
      <c r="A1327" t="s">
        <v>15</v>
      </c>
      <c r="B1327" t="s">
        <v>270</v>
      </c>
      <c r="C1327" t="s">
        <v>271</v>
      </c>
      <c r="D1327">
        <v>1</v>
      </c>
      <c r="E1327" t="s">
        <v>83</v>
      </c>
      <c r="F1327" t="s">
        <v>84</v>
      </c>
      <c r="G1327">
        <v>58</v>
      </c>
      <c r="H1327">
        <v>38</v>
      </c>
      <c r="I1327">
        <v>96</v>
      </c>
      <c r="J1327">
        <f t="shared" si="60"/>
        <v>20</v>
      </c>
      <c r="K1327" t="s">
        <v>20</v>
      </c>
      <c r="L1327">
        <f t="shared" si="61"/>
        <v>1</v>
      </c>
      <c r="M1327">
        <v>10</v>
      </c>
      <c r="N1327">
        <v>3</v>
      </c>
      <c r="O1327">
        <f t="shared" si="62"/>
        <v>1</v>
      </c>
    </row>
    <row r="1328" spans="1:15" x14ac:dyDescent="0.3">
      <c r="A1328" t="s">
        <v>15</v>
      </c>
      <c r="B1328" t="s">
        <v>270</v>
      </c>
      <c r="C1328" t="s">
        <v>271</v>
      </c>
      <c r="D1328">
        <v>1</v>
      </c>
      <c r="E1328" t="s">
        <v>53</v>
      </c>
      <c r="F1328" t="s">
        <v>54</v>
      </c>
      <c r="G1328">
        <v>48</v>
      </c>
      <c r="H1328">
        <v>47</v>
      </c>
      <c r="I1328">
        <v>95</v>
      </c>
      <c r="J1328">
        <f t="shared" si="60"/>
        <v>1</v>
      </c>
      <c r="K1328" t="s">
        <v>20</v>
      </c>
      <c r="L1328">
        <f t="shared" si="61"/>
        <v>1</v>
      </c>
      <c r="M1328">
        <v>10</v>
      </c>
      <c r="N1328">
        <v>4</v>
      </c>
      <c r="O1328">
        <f t="shared" si="62"/>
        <v>1</v>
      </c>
    </row>
    <row r="1329" spans="1:15" x14ac:dyDescent="0.3">
      <c r="A1329" t="s">
        <v>15</v>
      </c>
      <c r="B1329" t="s">
        <v>270</v>
      </c>
      <c r="C1329" t="s">
        <v>271</v>
      </c>
      <c r="D1329">
        <v>1</v>
      </c>
      <c r="E1329" t="s">
        <v>55</v>
      </c>
      <c r="F1329" t="s">
        <v>56</v>
      </c>
      <c r="G1329">
        <v>48</v>
      </c>
      <c r="H1329">
        <v>48</v>
      </c>
      <c r="I1329">
        <v>96</v>
      </c>
      <c r="J1329">
        <f t="shared" si="60"/>
        <v>0</v>
      </c>
      <c r="K1329" t="s">
        <v>20</v>
      </c>
      <c r="L1329">
        <f t="shared" si="61"/>
        <v>1</v>
      </c>
      <c r="M1329">
        <v>10</v>
      </c>
      <c r="N1329">
        <v>3</v>
      </c>
      <c r="O1329">
        <f t="shared" si="62"/>
        <v>1</v>
      </c>
    </row>
    <row r="1330" spans="1:15" x14ac:dyDescent="0.3">
      <c r="A1330" t="s">
        <v>15</v>
      </c>
      <c r="B1330" t="s">
        <v>270</v>
      </c>
      <c r="C1330" t="s">
        <v>271</v>
      </c>
      <c r="D1330">
        <v>1</v>
      </c>
      <c r="E1330" t="s">
        <v>57</v>
      </c>
      <c r="F1330" t="s">
        <v>58</v>
      </c>
      <c r="G1330">
        <v>38</v>
      </c>
      <c r="H1330">
        <v>41</v>
      </c>
      <c r="I1330">
        <v>79</v>
      </c>
      <c r="J1330">
        <f t="shared" si="60"/>
        <v>-3</v>
      </c>
      <c r="K1330" t="s">
        <v>20</v>
      </c>
      <c r="L1330">
        <f t="shared" si="61"/>
        <v>1</v>
      </c>
      <c r="M1330">
        <v>8</v>
      </c>
      <c r="N1330">
        <v>4</v>
      </c>
      <c r="O1330">
        <f t="shared" si="62"/>
        <v>1</v>
      </c>
    </row>
    <row r="1331" spans="1:15" x14ac:dyDescent="0.3">
      <c r="A1331" t="s">
        <v>15</v>
      </c>
      <c r="B1331" t="s">
        <v>272</v>
      </c>
      <c r="C1331" t="s">
        <v>273</v>
      </c>
      <c r="D1331">
        <v>2</v>
      </c>
      <c r="E1331" t="s">
        <v>18</v>
      </c>
      <c r="F1331" t="s">
        <v>19</v>
      </c>
      <c r="G1331">
        <v>47</v>
      </c>
      <c r="H1331">
        <v>36</v>
      </c>
      <c r="I1331">
        <v>83</v>
      </c>
      <c r="J1331">
        <f t="shared" si="60"/>
        <v>11</v>
      </c>
      <c r="K1331" t="s">
        <v>20</v>
      </c>
      <c r="L1331">
        <f t="shared" si="61"/>
        <v>1</v>
      </c>
      <c r="M1331">
        <v>8</v>
      </c>
      <c r="N1331">
        <v>4</v>
      </c>
      <c r="O1331">
        <f t="shared" si="62"/>
        <v>1</v>
      </c>
    </row>
    <row r="1332" spans="1:15" x14ac:dyDescent="0.3">
      <c r="A1332" t="s">
        <v>15</v>
      </c>
      <c r="B1332" t="s">
        <v>272</v>
      </c>
      <c r="C1332" t="s">
        <v>273</v>
      </c>
      <c r="D1332">
        <v>2</v>
      </c>
      <c r="E1332" t="s">
        <v>21</v>
      </c>
      <c r="F1332" t="s">
        <v>22</v>
      </c>
      <c r="G1332">
        <v>45</v>
      </c>
      <c r="H1332">
        <v>40</v>
      </c>
      <c r="I1332">
        <v>85</v>
      </c>
      <c r="J1332">
        <f t="shared" si="60"/>
        <v>5</v>
      </c>
      <c r="K1332" t="s">
        <v>20</v>
      </c>
      <c r="L1332">
        <f t="shared" si="61"/>
        <v>1</v>
      </c>
      <c r="M1332">
        <v>9</v>
      </c>
      <c r="N1332">
        <v>4</v>
      </c>
      <c r="O1332">
        <f t="shared" si="62"/>
        <v>1</v>
      </c>
    </row>
    <row r="1333" spans="1:15" x14ac:dyDescent="0.3">
      <c r="A1333" t="s">
        <v>15</v>
      </c>
      <c r="B1333" t="s">
        <v>272</v>
      </c>
      <c r="C1333" t="s">
        <v>273</v>
      </c>
      <c r="D1333">
        <v>2</v>
      </c>
      <c r="E1333" t="s">
        <v>23</v>
      </c>
      <c r="F1333" t="s">
        <v>24</v>
      </c>
      <c r="G1333">
        <v>82</v>
      </c>
      <c r="H1333">
        <v>0</v>
      </c>
      <c r="I1333">
        <v>82</v>
      </c>
      <c r="J1333">
        <f t="shared" si="60"/>
        <v>0</v>
      </c>
      <c r="K1333" t="s">
        <v>20</v>
      </c>
      <c r="L1333">
        <f t="shared" si="61"/>
        <v>1</v>
      </c>
      <c r="M1333">
        <v>9</v>
      </c>
      <c r="N1333">
        <v>1</v>
      </c>
      <c r="O1333">
        <f t="shared" si="62"/>
        <v>0</v>
      </c>
    </row>
    <row r="1334" spans="1:15" x14ac:dyDescent="0.3">
      <c r="A1334" t="s">
        <v>15</v>
      </c>
      <c r="B1334" t="s">
        <v>272</v>
      </c>
      <c r="C1334" t="s">
        <v>273</v>
      </c>
      <c r="D1334">
        <v>2</v>
      </c>
      <c r="E1334" t="s">
        <v>25</v>
      </c>
      <c r="F1334" t="s">
        <v>26</v>
      </c>
      <c r="G1334">
        <v>38</v>
      </c>
      <c r="H1334">
        <v>34</v>
      </c>
      <c r="I1334">
        <v>72</v>
      </c>
      <c r="J1334">
        <f t="shared" si="60"/>
        <v>4</v>
      </c>
      <c r="K1334" t="s">
        <v>20</v>
      </c>
      <c r="L1334">
        <f t="shared" si="61"/>
        <v>1</v>
      </c>
      <c r="M1334">
        <v>7</v>
      </c>
      <c r="N1334">
        <v>1</v>
      </c>
      <c r="O1334">
        <f t="shared" si="62"/>
        <v>1</v>
      </c>
    </row>
    <row r="1335" spans="1:15" x14ac:dyDescent="0.3">
      <c r="A1335" t="s">
        <v>15</v>
      </c>
      <c r="B1335" t="s">
        <v>272</v>
      </c>
      <c r="C1335" t="s">
        <v>273</v>
      </c>
      <c r="D1335">
        <v>2</v>
      </c>
      <c r="E1335" t="s">
        <v>27</v>
      </c>
      <c r="F1335" t="s">
        <v>28</v>
      </c>
      <c r="G1335">
        <v>34</v>
      </c>
      <c r="H1335">
        <v>38</v>
      </c>
      <c r="I1335">
        <v>72</v>
      </c>
      <c r="J1335">
        <f t="shared" si="60"/>
        <v>-4</v>
      </c>
      <c r="K1335" t="s">
        <v>20</v>
      </c>
      <c r="L1335">
        <f t="shared" si="61"/>
        <v>1</v>
      </c>
      <c r="M1335">
        <v>7</v>
      </c>
      <c r="N1335">
        <v>2</v>
      </c>
      <c r="O1335">
        <f t="shared" si="62"/>
        <v>1</v>
      </c>
    </row>
    <row r="1336" spans="1:15" x14ac:dyDescent="0.3">
      <c r="A1336" t="s">
        <v>15</v>
      </c>
      <c r="B1336" t="s">
        <v>272</v>
      </c>
      <c r="C1336" t="s">
        <v>273</v>
      </c>
      <c r="D1336">
        <v>2</v>
      </c>
      <c r="E1336" t="s">
        <v>65</v>
      </c>
      <c r="F1336" t="s">
        <v>66</v>
      </c>
      <c r="G1336">
        <v>76</v>
      </c>
      <c r="H1336">
        <v>0</v>
      </c>
      <c r="I1336">
        <v>76</v>
      </c>
      <c r="J1336">
        <f t="shared" si="60"/>
        <v>0</v>
      </c>
      <c r="K1336" t="s">
        <v>20</v>
      </c>
      <c r="L1336">
        <f t="shared" si="61"/>
        <v>1</v>
      </c>
      <c r="M1336">
        <v>8</v>
      </c>
      <c r="N1336">
        <v>1</v>
      </c>
      <c r="O1336">
        <f t="shared" si="62"/>
        <v>0</v>
      </c>
    </row>
    <row r="1337" spans="1:15" x14ac:dyDescent="0.3">
      <c r="A1337" t="s">
        <v>15</v>
      </c>
      <c r="B1337" t="s">
        <v>272</v>
      </c>
      <c r="C1337" t="s">
        <v>273</v>
      </c>
      <c r="D1337">
        <v>2</v>
      </c>
      <c r="E1337" t="s">
        <v>31</v>
      </c>
      <c r="F1337" t="s">
        <v>32</v>
      </c>
      <c r="G1337">
        <v>92</v>
      </c>
      <c r="H1337">
        <v>0</v>
      </c>
      <c r="I1337">
        <v>92</v>
      </c>
      <c r="J1337">
        <f t="shared" si="60"/>
        <v>0</v>
      </c>
      <c r="K1337" t="s">
        <v>20</v>
      </c>
      <c r="L1337">
        <f t="shared" si="61"/>
        <v>1</v>
      </c>
      <c r="M1337">
        <v>10</v>
      </c>
      <c r="N1337">
        <v>1</v>
      </c>
      <c r="O1337">
        <f t="shared" si="62"/>
        <v>0</v>
      </c>
    </row>
    <row r="1338" spans="1:15" x14ac:dyDescent="0.3">
      <c r="A1338" t="s">
        <v>15</v>
      </c>
      <c r="B1338" t="s">
        <v>272</v>
      </c>
      <c r="C1338" t="s">
        <v>273</v>
      </c>
      <c r="D1338">
        <v>2</v>
      </c>
      <c r="E1338" t="s">
        <v>33</v>
      </c>
      <c r="F1338" t="s">
        <v>34</v>
      </c>
      <c r="G1338">
        <v>47</v>
      </c>
      <c r="H1338">
        <v>40</v>
      </c>
      <c r="I1338">
        <v>87</v>
      </c>
      <c r="J1338">
        <f t="shared" si="60"/>
        <v>7</v>
      </c>
      <c r="K1338" t="s">
        <v>20</v>
      </c>
      <c r="L1338">
        <f t="shared" si="61"/>
        <v>1</v>
      </c>
      <c r="M1338">
        <v>9</v>
      </c>
      <c r="N1338">
        <v>4</v>
      </c>
      <c r="O1338">
        <f t="shared" si="62"/>
        <v>1</v>
      </c>
    </row>
    <row r="1339" spans="1:15" x14ac:dyDescent="0.3">
      <c r="A1339" t="s">
        <v>15</v>
      </c>
      <c r="B1339" t="s">
        <v>272</v>
      </c>
      <c r="C1339" t="s">
        <v>273</v>
      </c>
      <c r="D1339">
        <v>2</v>
      </c>
      <c r="E1339" t="s">
        <v>35</v>
      </c>
      <c r="F1339" t="s">
        <v>36</v>
      </c>
      <c r="G1339">
        <v>35</v>
      </c>
      <c r="H1339">
        <v>54</v>
      </c>
      <c r="I1339">
        <v>89</v>
      </c>
      <c r="J1339">
        <f t="shared" si="60"/>
        <v>-19</v>
      </c>
      <c r="K1339" t="s">
        <v>20</v>
      </c>
      <c r="L1339">
        <f t="shared" si="61"/>
        <v>1</v>
      </c>
      <c r="M1339">
        <v>10</v>
      </c>
      <c r="N1339">
        <v>3</v>
      </c>
      <c r="O1339">
        <f t="shared" si="62"/>
        <v>1</v>
      </c>
    </row>
    <row r="1340" spans="1:15" x14ac:dyDescent="0.3">
      <c r="A1340" t="s">
        <v>15</v>
      </c>
      <c r="B1340" t="s">
        <v>272</v>
      </c>
      <c r="C1340" t="s">
        <v>273</v>
      </c>
      <c r="D1340">
        <v>2</v>
      </c>
      <c r="E1340" t="s">
        <v>37</v>
      </c>
      <c r="F1340" t="s">
        <v>38</v>
      </c>
      <c r="G1340">
        <v>38</v>
      </c>
      <c r="H1340">
        <v>45</v>
      </c>
      <c r="I1340">
        <v>83</v>
      </c>
      <c r="J1340">
        <f t="shared" si="60"/>
        <v>-7</v>
      </c>
      <c r="K1340" t="s">
        <v>20</v>
      </c>
      <c r="L1340">
        <f t="shared" si="61"/>
        <v>1</v>
      </c>
      <c r="M1340">
        <v>8</v>
      </c>
      <c r="N1340">
        <v>3</v>
      </c>
      <c r="O1340">
        <f t="shared" si="62"/>
        <v>1</v>
      </c>
    </row>
    <row r="1341" spans="1:15" x14ac:dyDescent="0.3">
      <c r="A1341" t="s">
        <v>15</v>
      </c>
      <c r="B1341" t="s">
        <v>272</v>
      </c>
      <c r="C1341" t="s">
        <v>273</v>
      </c>
      <c r="D1341">
        <v>1</v>
      </c>
      <c r="E1341" t="s">
        <v>39</v>
      </c>
      <c r="F1341" t="s">
        <v>40</v>
      </c>
      <c r="G1341">
        <v>93</v>
      </c>
      <c r="H1341">
        <v>0</v>
      </c>
      <c r="I1341">
        <v>93</v>
      </c>
      <c r="J1341">
        <f t="shared" si="60"/>
        <v>0</v>
      </c>
      <c r="K1341" t="s">
        <v>20</v>
      </c>
      <c r="L1341">
        <f t="shared" si="61"/>
        <v>1</v>
      </c>
      <c r="M1341">
        <v>10</v>
      </c>
      <c r="N1341">
        <v>1</v>
      </c>
      <c r="O1341">
        <f t="shared" si="62"/>
        <v>0</v>
      </c>
    </row>
    <row r="1342" spans="1:15" x14ac:dyDescent="0.3">
      <c r="A1342" t="s">
        <v>15</v>
      </c>
      <c r="B1342" t="s">
        <v>272</v>
      </c>
      <c r="C1342" t="s">
        <v>273</v>
      </c>
      <c r="D1342">
        <v>1</v>
      </c>
      <c r="E1342" t="s">
        <v>41</v>
      </c>
      <c r="F1342" t="s">
        <v>42</v>
      </c>
      <c r="G1342">
        <v>27</v>
      </c>
      <c r="H1342">
        <v>38</v>
      </c>
      <c r="I1342">
        <v>65</v>
      </c>
      <c r="J1342">
        <f t="shared" si="60"/>
        <v>-11</v>
      </c>
      <c r="K1342" t="s">
        <v>20</v>
      </c>
      <c r="L1342">
        <f t="shared" si="61"/>
        <v>1</v>
      </c>
      <c r="M1342">
        <v>8</v>
      </c>
      <c r="N1342">
        <v>3</v>
      </c>
      <c r="O1342">
        <f t="shared" si="62"/>
        <v>1</v>
      </c>
    </row>
    <row r="1343" spans="1:15" x14ac:dyDescent="0.3">
      <c r="A1343" t="s">
        <v>15</v>
      </c>
      <c r="B1343" t="s">
        <v>272</v>
      </c>
      <c r="C1343" t="s">
        <v>273</v>
      </c>
      <c r="D1343">
        <v>1</v>
      </c>
      <c r="E1343" t="s">
        <v>43</v>
      </c>
      <c r="F1343" t="s">
        <v>44</v>
      </c>
      <c r="G1343">
        <v>66</v>
      </c>
      <c r="H1343">
        <v>0</v>
      </c>
      <c r="I1343">
        <v>66</v>
      </c>
      <c r="J1343">
        <f t="shared" si="60"/>
        <v>0</v>
      </c>
      <c r="K1343" t="s">
        <v>20</v>
      </c>
      <c r="L1343">
        <f t="shared" si="61"/>
        <v>1</v>
      </c>
      <c r="M1343">
        <v>7</v>
      </c>
      <c r="N1343">
        <v>1</v>
      </c>
      <c r="O1343">
        <f t="shared" si="62"/>
        <v>0</v>
      </c>
    </row>
    <row r="1344" spans="1:15" x14ac:dyDescent="0.3">
      <c r="A1344" t="s">
        <v>15</v>
      </c>
      <c r="B1344" t="s">
        <v>272</v>
      </c>
      <c r="C1344" t="s">
        <v>273</v>
      </c>
      <c r="D1344">
        <v>1</v>
      </c>
      <c r="E1344" t="s">
        <v>45</v>
      </c>
      <c r="F1344" t="s">
        <v>46</v>
      </c>
      <c r="G1344">
        <v>27</v>
      </c>
      <c r="H1344">
        <v>45</v>
      </c>
      <c r="I1344">
        <v>72</v>
      </c>
      <c r="J1344">
        <f t="shared" si="60"/>
        <v>-18</v>
      </c>
      <c r="K1344" t="s">
        <v>20</v>
      </c>
      <c r="L1344">
        <f t="shared" si="61"/>
        <v>1</v>
      </c>
      <c r="M1344">
        <v>7</v>
      </c>
      <c r="N1344">
        <v>1</v>
      </c>
      <c r="O1344">
        <f t="shared" si="62"/>
        <v>1</v>
      </c>
    </row>
    <row r="1345" spans="1:15" x14ac:dyDescent="0.3">
      <c r="A1345" t="s">
        <v>15</v>
      </c>
      <c r="B1345" t="s">
        <v>272</v>
      </c>
      <c r="C1345" t="s">
        <v>273</v>
      </c>
      <c r="D1345">
        <v>1</v>
      </c>
      <c r="E1345" t="s">
        <v>274</v>
      </c>
      <c r="F1345" t="s">
        <v>275</v>
      </c>
      <c r="G1345">
        <v>79</v>
      </c>
      <c r="H1345">
        <v>0</v>
      </c>
      <c r="I1345">
        <v>79</v>
      </c>
      <c r="J1345">
        <f t="shared" si="60"/>
        <v>0</v>
      </c>
      <c r="K1345" t="s">
        <v>20</v>
      </c>
      <c r="L1345">
        <f t="shared" si="61"/>
        <v>1</v>
      </c>
      <c r="M1345">
        <v>8</v>
      </c>
      <c r="N1345">
        <v>1</v>
      </c>
      <c r="O1345">
        <f t="shared" si="62"/>
        <v>0</v>
      </c>
    </row>
    <row r="1346" spans="1:15" x14ac:dyDescent="0.3">
      <c r="A1346" t="s">
        <v>15</v>
      </c>
      <c r="B1346" t="s">
        <v>272</v>
      </c>
      <c r="C1346" t="s">
        <v>273</v>
      </c>
      <c r="D1346">
        <v>1</v>
      </c>
      <c r="E1346" t="s">
        <v>49</v>
      </c>
      <c r="F1346" t="s">
        <v>50</v>
      </c>
      <c r="G1346">
        <v>80</v>
      </c>
      <c r="H1346">
        <v>0</v>
      </c>
      <c r="I1346">
        <v>80</v>
      </c>
      <c r="J1346">
        <f t="shared" si="60"/>
        <v>0</v>
      </c>
      <c r="K1346" t="s">
        <v>20</v>
      </c>
      <c r="L1346">
        <f t="shared" ref="L1346:L1350" si="63">IF(K1346="Pass",1,0)</f>
        <v>1</v>
      </c>
      <c r="M1346">
        <v>8</v>
      </c>
      <c r="N1346">
        <v>1</v>
      </c>
      <c r="O1346">
        <f t="shared" si="62"/>
        <v>0</v>
      </c>
    </row>
    <row r="1347" spans="1:15" x14ac:dyDescent="0.3">
      <c r="A1347" t="s">
        <v>15</v>
      </c>
      <c r="B1347" t="s">
        <v>272</v>
      </c>
      <c r="C1347" t="s">
        <v>273</v>
      </c>
      <c r="D1347">
        <v>1</v>
      </c>
      <c r="E1347" t="s">
        <v>51</v>
      </c>
      <c r="F1347" t="s">
        <v>52</v>
      </c>
      <c r="G1347">
        <v>90</v>
      </c>
      <c r="H1347">
        <v>0</v>
      </c>
      <c r="I1347">
        <v>90</v>
      </c>
      <c r="J1347">
        <f t="shared" si="60"/>
        <v>0</v>
      </c>
      <c r="K1347" t="s">
        <v>20</v>
      </c>
      <c r="L1347">
        <f t="shared" si="63"/>
        <v>1</v>
      </c>
      <c r="M1347">
        <v>9</v>
      </c>
      <c r="N1347">
        <v>1</v>
      </c>
      <c r="O1347">
        <f t="shared" si="62"/>
        <v>0</v>
      </c>
    </row>
    <row r="1348" spans="1:15" x14ac:dyDescent="0.3">
      <c r="A1348" t="s">
        <v>15</v>
      </c>
      <c r="B1348" t="s">
        <v>272</v>
      </c>
      <c r="C1348" t="s">
        <v>273</v>
      </c>
      <c r="D1348">
        <v>1</v>
      </c>
      <c r="E1348" t="s">
        <v>53</v>
      </c>
      <c r="F1348" t="s">
        <v>54</v>
      </c>
      <c r="G1348">
        <v>48</v>
      </c>
      <c r="H1348">
        <v>39</v>
      </c>
      <c r="I1348">
        <v>87</v>
      </c>
      <c r="J1348">
        <f t="shared" si="60"/>
        <v>9</v>
      </c>
      <c r="K1348" t="s">
        <v>20</v>
      </c>
      <c r="L1348">
        <f t="shared" si="63"/>
        <v>1</v>
      </c>
      <c r="M1348">
        <v>8</v>
      </c>
      <c r="N1348">
        <v>4</v>
      </c>
      <c r="O1348">
        <f t="shared" si="62"/>
        <v>1</v>
      </c>
    </row>
    <row r="1349" spans="1:15" x14ac:dyDescent="0.3">
      <c r="A1349" t="s">
        <v>15</v>
      </c>
      <c r="B1349" t="s">
        <v>272</v>
      </c>
      <c r="C1349" t="s">
        <v>273</v>
      </c>
      <c r="D1349">
        <v>1</v>
      </c>
      <c r="E1349" t="s">
        <v>55</v>
      </c>
      <c r="F1349" t="s">
        <v>56</v>
      </c>
      <c r="G1349">
        <v>36</v>
      </c>
      <c r="H1349">
        <v>30</v>
      </c>
      <c r="I1349">
        <v>66</v>
      </c>
      <c r="J1349">
        <f t="shared" si="60"/>
        <v>6</v>
      </c>
      <c r="K1349" t="s">
        <v>20</v>
      </c>
      <c r="L1349">
        <f t="shared" si="63"/>
        <v>1</v>
      </c>
      <c r="M1349">
        <v>7</v>
      </c>
      <c r="N1349">
        <v>3</v>
      </c>
      <c r="O1349">
        <f t="shared" si="62"/>
        <v>1</v>
      </c>
    </row>
    <row r="1350" spans="1:15" x14ac:dyDescent="0.3">
      <c r="A1350" t="s">
        <v>15</v>
      </c>
      <c r="B1350" t="s">
        <v>272</v>
      </c>
      <c r="C1350" t="s">
        <v>273</v>
      </c>
      <c r="D1350">
        <v>1</v>
      </c>
      <c r="E1350" t="s">
        <v>57</v>
      </c>
      <c r="F1350" t="s">
        <v>58</v>
      </c>
      <c r="G1350">
        <v>43</v>
      </c>
      <c r="H1350">
        <v>41</v>
      </c>
      <c r="I1350">
        <v>84</v>
      </c>
      <c r="J1350">
        <f t="shared" si="60"/>
        <v>2</v>
      </c>
      <c r="K1350" t="s">
        <v>20</v>
      </c>
      <c r="L1350">
        <f t="shared" si="63"/>
        <v>1</v>
      </c>
      <c r="M1350">
        <v>9</v>
      </c>
      <c r="N1350">
        <v>4</v>
      </c>
      <c r="O1350">
        <f t="shared" si="62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0EFE-4F04-4796-8D6D-101FFF7355E2}">
  <dimension ref="A3:D64"/>
  <sheetViews>
    <sheetView workbookViewId="0">
      <selection activeCell="E4" sqref="E4"/>
    </sheetView>
  </sheetViews>
  <sheetFormatPr defaultRowHeight="14.4" x14ac:dyDescent="0.3"/>
  <cols>
    <col min="1" max="1" width="12.44140625" bestFit="1" customWidth="1"/>
    <col min="2" max="2" width="9" style="5" bestFit="1" customWidth="1"/>
    <col min="3" max="3" width="8.88671875" style="5"/>
    <col min="4" max="4" width="11.6640625" bestFit="1" customWidth="1"/>
  </cols>
  <sheetData>
    <row r="3" spans="1:4" x14ac:dyDescent="0.3">
      <c r="A3" s="2" t="s">
        <v>276</v>
      </c>
      <c r="B3" s="5" t="s">
        <v>278</v>
      </c>
      <c r="C3" s="8" t="s">
        <v>279</v>
      </c>
      <c r="D3" s="9" t="s">
        <v>280</v>
      </c>
    </row>
    <row r="4" spans="1:4" x14ac:dyDescent="0.3">
      <c r="A4" s="3" t="s">
        <v>39</v>
      </c>
      <c r="B4" s="5">
        <v>1</v>
      </c>
      <c r="C4" s="5">
        <f>1-B4</f>
        <v>0</v>
      </c>
      <c r="D4" t="str">
        <f>IF(B4&lt;0.7,"HIGH RISK",IF(B4&lt;0.85,"MEDIUM RISK","LOW RISK"))</f>
        <v>LOW RISK</v>
      </c>
    </row>
    <row r="5" spans="1:4" x14ac:dyDescent="0.3">
      <c r="A5" s="3" t="s">
        <v>18</v>
      </c>
      <c r="B5" s="5">
        <v>0.98529411764705888</v>
      </c>
      <c r="C5" s="5">
        <f>1-B5</f>
        <v>1.4705882352941124E-2</v>
      </c>
      <c r="D5" t="str">
        <f t="shared" ref="D5:D64" si="0">IF(B5&lt;0.7,"HIGH RISK",IF(B5&lt;0.85,"MEDIUM RISK","LOW RISK"))</f>
        <v>LOW RISK</v>
      </c>
    </row>
    <row r="6" spans="1:4" x14ac:dyDescent="0.3">
      <c r="A6" s="3" t="s">
        <v>21</v>
      </c>
      <c r="B6" s="5">
        <v>0.83823529411764708</v>
      </c>
      <c r="C6" s="5">
        <f>1-B6</f>
        <v>0.16176470588235292</v>
      </c>
      <c r="D6" t="str">
        <f t="shared" si="0"/>
        <v>MEDIUM RISK</v>
      </c>
    </row>
    <row r="7" spans="1:4" x14ac:dyDescent="0.3">
      <c r="A7" s="3" t="s">
        <v>41</v>
      </c>
      <c r="B7" s="5">
        <v>0.67045454545454541</v>
      </c>
      <c r="C7" s="5">
        <f>1-B7</f>
        <v>0.32954545454545459</v>
      </c>
      <c r="D7" t="str">
        <f t="shared" si="0"/>
        <v>HIGH RISK</v>
      </c>
    </row>
    <row r="8" spans="1:4" x14ac:dyDescent="0.3">
      <c r="A8" s="3" t="s">
        <v>113</v>
      </c>
      <c r="B8" s="5">
        <v>1</v>
      </c>
      <c r="C8" s="5">
        <f>1-B8</f>
        <v>0</v>
      </c>
      <c r="D8" t="str">
        <f t="shared" si="0"/>
        <v>LOW RISK</v>
      </c>
    </row>
    <row r="9" spans="1:4" x14ac:dyDescent="0.3">
      <c r="A9" s="3" t="s">
        <v>43</v>
      </c>
      <c r="B9" s="5">
        <v>1</v>
      </c>
      <c r="C9" s="5">
        <f>1-B9</f>
        <v>0</v>
      </c>
      <c r="D9" t="str">
        <f t="shared" si="0"/>
        <v>LOW RISK</v>
      </c>
    </row>
    <row r="10" spans="1:4" x14ac:dyDescent="0.3">
      <c r="A10" s="3" t="s">
        <v>23</v>
      </c>
      <c r="B10" s="5">
        <v>1</v>
      </c>
      <c r="C10" s="5">
        <f>1-B10</f>
        <v>0</v>
      </c>
      <c r="D10" t="str">
        <f t="shared" si="0"/>
        <v>LOW RISK</v>
      </c>
    </row>
    <row r="11" spans="1:4" x14ac:dyDescent="0.3">
      <c r="A11" s="3" t="s">
        <v>45</v>
      </c>
      <c r="B11" s="5">
        <v>0.98550724637681164</v>
      </c>
      <c r="C11" s="5">
        <f>1-B11</f>
        <v>1.4492753623188359E-2</v>
      </c>
      <c r="D11" t="str">
        <f t="shared" si="0"/>
        <v>LOW RISK</v>
      </c>
    </row>
    <row r="12" spans="1:4" x14ac:dyDescent="0.3">
      <c r="A12" s="3" t="s">
        <v>25</v>
      </c>
      <c r="B12" s="5">
        <v>0.98529411764705888</v>
      </c>
      <c r="C12" s="5">
        <f>1-B12</f>
        <v>1.4705882352941124E-2</v>
      </c>
      <c r="D12" t="str">
        <f t="shared" si="0"/>
        <v>LOW RISK</v>
      </c>
    </row>
    <row r="13" spans="1:4" x14ac:dyDescent="0.3">
      <c r="A13" s="3" t="s">
        <v>27</v>
      </c>
      <c r="B13" s="5">
        <v>0.97619047619047616</v>
      </c>
      <c r="C13" s="5">
        <f>1-B13</f>
        <v>2.3809523809523836E-2</v>
      </c>
      <c r="D13" t="str">
        <f t="shared" si="0"/>
        <v>LOW RISK</v>
      </c>
    </row>
    <row r="14" spans="1:4" x14ac:dyDescent="0.3">
      <c r="A14" s="3" t="s">
        <v>61</v>
      </c>
      <c r="B14" s="5">
        <v>0.95833333333333337</v>
      </c>
      <c r="C14" s="5">
        <f>1-B14</f>
        <v>4.166666666666663E-2</v>
      </c>
      <c r="D14" t="str">
        <f t="shared" si="0"/>
        <v>LOW RISK</v>
      </c>
    </row>
    <row r="15" spans="1:4" x14ac:dyDescent="0.3">
      <c r="A15" s="3" t="s">
        <v>83</v>
      </c>
      <c r="B15" s="5">
        <v>1</v>
      </c>
      <c r="C15" s="5">
        <f>1-B15</f>
        <v>0</v>
      </c>
      <c r="D15" t="str">
        <f t="shared" si="0"/>
        <v>LOW RISK</v>
      </c>
    </row>
    <row r="16" spans="1:4" x14ac:dyDescent="0.3">
      <c r="A16" s="3" t="s">
        <v>81</v>
      </c>
      <c r="B16" s="5">
        <v>1</v>
      </c>
      <c r="C16" s="5">
        <f>1-B16</f>
        <v>0</v>
      </c>
      <c r="D16" t="str">
        <f t="shared" si="0"/>
        <v>LOW RISK</v>
      </c>
    </row>
    <row r="17" spans="1:4" x14ac:dyDescent="0.3">
      <c r="A17" s="3" t="s">
        <v>105</v>
      </c>
      <c r="B17" s="5">
        <v>1</v>
      </c>
      <c r="C17" s="5">
        <f>1-B17</f>
        <v>0</v>
      </c>
      <c r="D17" t="str">
        <f t="shared" si="0"/>
        <v>LOW RISK</v>
      </c>
    </row>
    <row r="18" spans="1:4" x14ac:dyDescent="0.3">
      <c r="A18" s="3" t="s">
        <v>47</v>
      </c>
      <c r="B18" s="5">
        <v>1</v>
      </c>
      <c r="C18" s="5">
        <f>1-B18</f>
        <v>0</v>
      </c>
      <c r="D18" t="str">
        <f t="shared" si="0"/>
        <v>LOW RISK</v>
      </c>
    </row>
    <row r="19" spans="1:4" x14ac:dyDescent="0.3">
      <c r="A19" s="3" t="s">
        <v>173</v>
      </c>
      <c r="B19" s="5">
        <v>1</v>
      </c>
      <c r="C19" s="5">
        <f>1-B19</f>
        <v>0</v>
      </c>
      <c r="D19" t="str">
        <f t="shared" si="0"/>
        <v>LOW RISK</v>
      </c>
    </row>
    <row r="20" spans="1:4" x14ac:dyDescent="0.3">
      <c r="A20" s="3" t="s">
        <v>117</v>
      </c>
      <c r="B20" s="5">
        <v>1</v>
      </c>
      <c r="C20" s="5">
        <f>1-B20</f>
        <v>0</v>
      </c>
      <c r="D20" t="str">
        <f t="shared" si="0"/>
        <v>LOW RISK</v>
      </c>
    </row>
    <row r="21" spans="1:4" x14ac:dyDescent="0.3">
      <c r="A21" s="3" t="s">
        <v>115</v>
      </c>
      <c r="B21" s="5">
        <v>1</v>
      </c>
      <c r="C21" s="5">
        <f>1-B21</f>
        <v>0</v>
      </c>
      <c r="D21" t="str">
        <f t="shared" si="0"/>
        <v>LOW RISK</v>
      </c>
    </row>
    <row r="22" spans="1:4" x14ac:dyDescent="0.3">
      <c r="A22" s="3" t="s">
        <v>187</v>
      </c>
      <c r="B22" s="5">
        <v>1</v>
      </c>
      <c r="C22" s="5">
        <f>1-B22</f>
        <v>0</v>
      </c>
      <c r="D22" t="str">
        <f t="shared" si="0"/>
        <v>LOW RISK</v>
      </c>
    </row>
    <row r="23" spans="1:4" x14ac:dyDescent="0.3">
      <c r="A23" s="3" t="s">
        <v>254</v>
      </c>
      <c r="B23" s="5">
        <v>1</v>
      </c>
      <c r="C23" s="5">
        <f>1-B23</f>
        <v>0</v>
      </c>
      <c r="D23" t="str">
        <f t="shared" si="0"/>
        <v>LOW RISK</v>
      </c>
    </row>
    <row r="24" spans="1:4" x14ac:dyDescent="0.3">
      <c r="A24" s="3" t="s">
        <v>141</v>
      </c>
      <c r="B24" s="5">
        <v>1</v>
      </c>
      <c r="C24" s="5">
        <f>1-B24</f>
        <v>0</v>
      </c>
      <c r="D24" t="str">
        <f t="shared" si="0"/>
        <v>LOW RISK</v>
      </c>
    </row>
    <row r="25" spans="1:4" x14ac:dyDescent="0.3">
      <c r="A25" s="3" t="s">
        <v>199</v>
      </c>
      <c r="B25" s="5">
        <v>1</v>
      </c>
      <c r="C25" s="5">
        <f>1-B25</f>
        <v>0</v>
      </c>
      <c r="D25" t="str">
        <f t="shared" si="0"/>
        <v>LOW RISK</v>
      </c>
    </row>
    <row r="26" spans="1:4" x14ac:dyDescent="0.3">
      <c r="A26" s="3" t="s">
        <v>203</v>
      </c>
      <c r="B26" s="5">
        <v>1</v>
      </c>
      <c r="C26" s="5">
        <f>1-B26</f>
        <v>0</v>
      </c>
      <c r="D26" t="str">
        <f t="shared" si="0"/>
        <v>LOW RISK</v>
      </c>
    </row>
    <row r="27" spans="1:4" x14ac:dyDescent="0.3">
      <c r="A27" s="3" t="s">
        <v>177</v>
      </c>
      <c r="B27" s="5">
        <v>1</v>
      </c>
      <c r="C27" s="5">
        <f>1-B27</f>
        <v>0</v>
      </c>
      <c r="D27" t="str">
        <f t="shared" si="0"/>
        <v>LOW RISK</v>
      </c>
    </row>
    <row r="28" spans="1:4" x14ac:dyDescent="0.3">
      <c r="A28" s="3" t="s">
        <v>230</v>
      </c>
      <c r="B28" s="5">
        <v>1</v>
      </c>
      <c r="C28" s="5">
        <f>1-B28</f>
        <v>0</v>
      </c>
      <c r="D28" t="str">
        <f t="shared" si="0"/>
        <v>LOW RISK</v>
      </c>
    </row>
    <row r="29" spans="1:4" x14ac:dyDescent="0.3">
      <c r="A29" s="3" t="s">
        <v>63</v>
      </c>
      <c r="B29" s="5">
        <v>1</v>
      </c>
      <c r="C29" s="5">
        <f>1-B29</f>
        <v>0</v>
      </c>
      <c r="D29" t="str">
        <f t="shared" si="0"/>
        <v>LOW RISK</v>
      </c>
    </row>
    <row r="30" spans="1:4" x14ac:dyDescent="0.3">
      <c r="A30" s="3" t="s">
        <v>123</v>
      </c>
      <c r="B30" s="5">
        <v>0.5</v>
      </c>
      <c r="C30" s="5">
        <f>1-B30</f>
        <v>0.5</v>
      </c>
      <c r="D30" t="str">
        <f t="shared" si="0"/>
        <v>HIGH RISK</v>
      </c>
    </row>
    <row r="31" spans="1:4" x14ac:dyDescent="0.3">
      <c r="A31" s="3" t="s">
        <v>145</v>
      </c>
      <c r="B31" s="5">
        <v>1</v>
      </c>
      <c r="C31" s="5">
        <f>1-B31</f>
        <v>0</v>
      </c>
      <c r="D31" t="str">
        <f t="shared" si="0"/>
        <v>LOW RISK</v>
      </c>
    </row>
    <row r="32" spans="1:4" x14ac:dyDescent="0.3">
      <c r="A32" s="3" t="s">
        <v>236</v>
      </c>
      <c r="B32" s="5">
        <v>1</v>
      </c>
      <c r="C32" s="5">
        <f>1-B32</f>
        <v>0</v>
      </c>
      <c r="D32" t="str">
        <f t="shared" si="0"/>
        <v>LOW RISK</v>
      </c>
    </row>
    <row r="33" spans="1:4" x14ac:dyDescent="0.3">
      <c r="A33" s="3" t="s">
        <v>246</v>
      </c>
      <c r="B33" s="5">
        <v>1</v>
      </c>
      <c r="C33" s="5">
        <f>1-B33</f>
        <v>0</v>
      </c>
      <c r="D33" t="str">
        <f t="shared" si="0"/>
        <v>LOW RISK</v>
      </c>
    </row>
    <row r="34" spans="1:4" x14ac:dyDescent="0.3">
      <c r="A34" s="3" t="s">
        <v>88</v>
      </c>
      <c r="B34" s="5">
        <v>1</v>
      </c>
      <c r="C34" s="5">
        <f>1-B34</f>
        <v>0</v>
      </c>
      <c r="D34" t="str">
        <f t="shared" si="0"/>
        <v>LOW RISK</v>
      </c>
    </row>
    <row r="35" spans="1:4" x14ac:dyDescent="0.3">
      <c r="A35" s="3" t="s">
        <v>264</v>
      </c>
      <c r="B35" s="5">
        <v>1</v>
      </c>
      <c r="C35" s="5">
        <f>1-B35</f>
        <v>0</v>
      </c>
      <c r="D35" t="str">
        <f t="shared" si="0"/>
        <v>LOW RISK</v>
      </c>
    </row>
    <row r="36" spans="1:4" x14ac:dyDescent="0.3">
      <c r="A36" s="3" t="s">
        <v>161</v>
      </c>
      <c r="B36" s="5">
        <v>1</v>
      </c>
      <c r="C36" s="5">
        <f>1-B36</f>
        <v>0</v>
      </c>
      <c r="D36" t="str">
        <f t="shared" si="0"/>
        <v>LOW RISK</v>
      </c>
    </row>
    <row r="37" spans="1:4" x14ac:dyDescent="0.3">
      <c r="A37" s="3" t="s">
        <v>268</v>
      </c>
      <c r="B37" s="5">
        <v>1</v>
      </c>
      <c r="C37" s="5">
        <f>1-B37</f>
        <v>0</v>
      </c>
      <c r="D37" t="str">
        <f t="shared" si="0"/>
        <v>LOW RISK</v>
      </c>
    </row>
    <row r="38" spans="1:4" x14ac:dyDescent="0.3">
      <c r="A38" s="3" t="s">
        <v>217</v>
      </c>
      <c r="B38" s="5">
        <v>1</v>
      </c>
      <c r="C38" s="5">
        <f>1-B38</f>
        <v>0</v>
      </c>
      <c r="D38" t="str">
        <f t="shared" si="0"/>
        <v>LOW RISK</v>
      </c>
    </row>
    <row r="39" spans="1:4" x14ac:dyDescent="0.3">
      <c r="A39" s="3" t="s">
        <v>75</v>
      </c>
      <c r="B39" s="5">
        <v>1</v>
      </c>
      <c r="C39" s="5">
        <f>1-B39</f>
        <v>0</v>
      </c>
      <c r="D39" t="str">
        <f t="shared" si="0"/>
        <v>LOW RISK</v>
      </c>
    </row>
    <row r="40" spans="1:4" x14ac:dyDescent="0.3">
      <c r="A40" s="3" t="s">
        <v>65</v>
      </c>
      <c r="B40" s="5">
        <v>1</v>
      </c>
      <c r="C40" s="5">
        <f>1-B40</f>
        <v>0</v>
      </c>
      <c r="D40" t="str">
        <f t="shared" si="0"/>
        <v>LOW RISK</v>
      </c>
    </row>
    <row r="41" spans="1:4" x14ac:dyDescent="0.3">
      <c r="A41" s="3" t="s">
        <v>274</v>
      </c>
      <c r="B41" s="5">
        <v>1</v>
      </c>
      <c r="C41" s="5">
        <f>1-B41</f>
        <v>0</v>
      </c>
      <c r="D41" t="str">
        <f t="shared" si="0"/>
        <v>LOW RISK</v>
      </c>
    </row>
    <row r="42" spans="1:4" x14ac:dyDescent="0.3">
      <c r="A42" s="3" t="s">
        <v>149</v>
      </c>
      <c r="B42" s="5">
        <v>1</v>
      </c>
      <c r="C42" s="5">
        <f>1-B42</f>
        <v>0</v>
      </c>
      <c r="D42" t="str">
        <f t="shared" si="0"/>
        <v>LOW RISK</v>
      </c>
    </row>
    <row r="43" spans="1:4" x14ac:dyDescent="0.3">
      <c r="A43" s="3" t="s">
        <v>125</v>
      </c>
      <c r="B43" s="5">
        <v>1</v>
      </c>
      <c r="C43" s="5">
        <f>1-B43</f>
        <v>0</v>
      </c>
      <c r="D43" t="str">
        <f t="shared" si="0"/>
        <v>LOW RISK</v>
      </c>
    </row>
    <row r="44" spans="1:4" x14ac:dyDescent="0.3">
      <c r="A44" s="3" t="s">
        <v>189</v>
      </c>
      <c r="B44" s="5">
        <v>1</v>
      </c>
      <c r="C44" s="5">
        <f>1-B44</f>
        <v>0</v>
      </c>
      <c r="D44" t="str">
        <f t="shared" si="0"/>
        <v>LOW RISK</v>
      </c>
    </row>
    <row r="45" spans="1:4" x14ac:dyDescent="0.3">
      <c r="A45" s="3" t="s">
        <v>155</v>
      </c>
      <c r="B45" s="5">
        <v>1</v>
      </c>
      <c r="C45" s="5">
        <f>1-B45</f>
        <v>0</v>
      </c>
      <c r="D45" t="str">
        <f t="shared" si="0"/>
        <v>LOW RISK</v>
      </c>
    </row>
    <row r="46" spans="1:4" x14ac:dyDescent="0.3">
      <c r="A46" s="3" t="s">
        <v>71</v>
      </c>
      <c r="B46" s="5">
        <v>1</v>
      </c>
      <c r="C46" s="5">
        <f>1-B46</f>
        <v>0</v>
      </c>
      <c r="D46" t="str">
        <f t="shared" si="0"/>
        <v>LOW RISK</v>
      </c>
    </row>
    <row r="47" spans="1:4" x14ac:dyDescent="0.3">
      <c r="A47" s="3" t="s">
        <v>133</v>
      </c>
      <c r="B47" s="5">
        <v>1</v>
      </c>
      <c r="C47" s="5">
        <f>1-B47</f>
        <v>0</v>
      </c>
      <c r="D47" t="str">
        <f t="shared" si="0"/>
        <v>LOW RISK</v>
      </c>
    </row>
    <row r="48" spans="1:4" x14ac:dyDescent="0.3">
      <c r="A48" s="3" t="s">
        <v>109</v>
      </c>
      <c r="B48" s="5">
        <v>1</v>
      </c>
      <c r="C48" s="5">
        <f>1-B48</f>
        <v>0</v>
      </c>
      <c r="D48" t="str">
        <f t="shared" si="0"/>
        <v>LOW RISK</v>
      </c>
    </row>
    <row r="49" spans="1:4" x14ac:dyDescent="0.3">
      <c r="A49" s="3" t="s">
        <v>69</v>
      </c>
      <c r="B49" s="5">
        <v>1</v>
      </c>
      <c r="C49" s="5">
        <f>1-B49</f>
        <v>0</v>
      </c>
      <c r="D49" t="str">
        <f t="shared" si="0"/>
        <v>LOW RISK</v>
      </c>
    </row>
    <row r="50" spans="1:4" x14ac:dyDescent="0.3">
      <c r="A50" s="3" t="s">
        <v>92</v>
      </c>
      <c r="B50" s="5">
        <v>0.66666666666666663</v>
      </c>
      <c r="C50" s="5">
        <f>1-B50</f>
        <v>0.33333333333333337</v>
      </c>
      <c r="D50" t="str">
        <f t="shared" si="0"/>
        <v>HIGH RISK</v>
      </c>
    </row>
    <row r="51" spans="1:4" x14ac:dyDescent="0.3">
      <c r="A51" s="3" t="s">
        <v>29</v>
      </c>
      <c r="B51" s="5">
        <v>1</v>
      </c>
      <c r="C51" s="5">
        <f>1-B51</f>
        <v>0</v>
      </c>
      <c r="D51" t="str">
        <f t="shared" si="0"/>
        <v>LOW RISK</v>
      </c>
    </row>
    <row r="52" spans="1:4" x14ac:dyDescent="0.3">
      <c r="A52" s="3" t="s">
        <v>165</v>
      </c>
      <c r="B52" s="5">
        <v>1</v>
      </c>
      <c r="C52" s="5">
        <f>1-B52</f>
        <v>0</v>
      </c>
      <c r="D52" t="str">
        <f t="shared" si="0"/>
        <v>LOW RISK</v>
      </c>
    </row>
    <row r="53" spans="1:4" x14ac:dyDescent="0.3">
      <c r="A53" s="3" t="s">
        <v>211</v>
      </c>
      <c r="B53" s="5">
        <v>1</v>
      </c>
      <c r="C53" s="5">
        <f>1-B53</f>
        <v>0</v>
      </c>
      <c r="D53" t="str">
        <f t="shared" si="0"/>
        <v>LOW RISK</v>
      </c>
    </row>
    <row r="54" spans="1:4" x14ac:dyDescent="0.3">
      <c r="A54" s="3" t="s">
        <v>101</v>
      </c>
      <c r="B54" s="5">
        <v>1</v>
      </c>
      <c r="C54" s="5">
        <f>1-B54</f>
        <v>0</v>
      </c>
      <c r="D54" t="str">
        <f t="shared" si="0"/>
        <v>LOW RISK</v>
      </c>
    </row>
    <row r="55" spans="1:4" x14ac:dyDescent="0.3">
      <c r="A55" s="3" t="s">
        <v>49</v>
      </c>
      <c r="B55" s="5">
        <v>1</v>
      </c>
      <c r="C55" s="5">
        <f>1-B55</f>
        <v>0</v>
      </c>
      <c r="D55" t="str">
        <f t="shared" si="0"/>
        <v>LOW RISK</v>
      </c>
    </row>
    <row r="56" spans="1:4" x14ac:dyDescent="0.3">
      <c r="A56" s="3" t="s">
        <v>51</v>
      </c>
      <c r="B56" s="5">
        <v>0.9642857142857143</v>
      </c>
      <c r="C56" s="5">
        <f>1-B56</f>
        <v>3.5714285714285698E-2</v>
      </c>
      <c r="D56" t="str">
        <f t="shared" si="0"/>
        <v>LOW RISK</v>
      </c>
    </row>
    <row r="57" spans="1:4" x14ac:dyDescent="0.3">
      <c r="A57" s="3" t="s">
        <v>31</v>
      </c>
      <c r="B57" s="5">
        <v>1</v>
      </c>
      <c r="C57" s="5">
        <f>1-B57</f>
        <v>0</v>
      </c>
      <c r="D57" t="str">
        <f t="shared" si="0"/>
        <v>LOW RISK</v>
      </c>
    </row>
    <row r="58" spans="1:4" x14ac:dyDescent="0.3">
      <c r="A58" s="3" t="s">
        <v>53</v>
      </c>
      <c r="B58" s="5">
        <v>0.88888888888888884</v>
      </c>
      <c r="C58" s="5">
        <f>1-B58</f>
        <v>0.11111111111111116</v>
      </c>
      <c r="D58" t="str">
        <f t="shared" si="0"/>
        <v>LOW RISK</v>
      </c>
    </row>
    <row r="59" spans="1:4" x14ac:dyDescent="0.3">
      <c r="A59" s="3" t="s">
        <v>33</v>
      </c>
      <c r="B59" s="5">
        <v>0.77941176470588236</v>
      </c>
      <c r="C59" s="5">
        <f>1-B59</f>
        <v>0.22058823529411764</v>
      </c>
      <c r="D59" t="str">
        <f t="shared" si="0"/>
        <v>MEDIUM RISK</v>
      </c>
    </row>
    <row r="60" spans="1:4" x14ac:dyDescent="0.3">
      <c r="A60" s="3" t="s">
        <v>55</v>
      </c>
      <c r="B60" s="5">
        <v>1</v>
      </c>
      <c r="C60" s="5">
        <f>1-B60</f>
        <v>0</v>
      </c>
      <c r="D60" t="str">
        <f t="shared" si="0"/>
        <v>LOW RISK</v>
      </c>
    </row>
    <row r="61" spans="1:4" x14ac:dyDescent="0.3">
      <c r="A61" s="3" t="s">
        <v>35</v>
      </c>
      <c r="B61" s="5">
        <v>0.80882352941176472</v>
      </c>
      <c r="C61" s="5">
        <f>1-B61</f>
        <v>0.19117647058823528</v>
      </c>
      <c r="D61" t="str">
        <f t="shared" si="0"/>
        <v>MEDIUM RISK</v>
      </c>
    </row>
    <row r="62" spans="1:4" x14ac:dyDescent="0.3">
      <c r="A62" s="3" t="s">
        <v>57</v>
      </c>
      <c r="B62" s="5">
        <v>0.86301369863013699</v>
      </c>
      <c r="C62" s="5">
        <f>1-B62</f>
        <v>0.13698630136986301</v>
      </c>
      <c r="D62" t="str">
        <f t="shared" si="0"/>
        <v>LOW RISK</v>
      </c>
    </row>
    <row r="63" spans="1:4" x14ac:dyDescent="0.3">
      <c r="A63" s="3" t="s">
        <v>37</v>
      </c>
      <c r="B63" s="5">
        <v>0.92647058823529416</v>
      </c>
      <c r="C63" s="5">
        <f>1-B63</f>
        <v>7.3529411764705843E-2</v>
      </c>
      <c r="D63" t="str">
        <f t="shared" si="0"/>
        <v>LOW RISK</v>
      </c>
    </row>
    <row r="64" spans="1:4" x14ac:dyDescent="0.3">
      <c r="A64" s="3" t="s">
        <v>277</v>
      </c>
      <c r="B64" s="5">
        <v>0.92512972572275765</v>
      </c>
      <c r="C64" s="5">
        <f>1-B64</f>
        <v>7.4870274277242355E-2</v>
      </c>
      <c r="D64" t="str">
        <f t="shared" si="0"/>
        <v>LOW RISK</v>
      </c>
    </row>
  </sheetData>
  <conditionalFormatting sqref="E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AE-STU-DETAILS</vt:lpstr>
      <vt:lpstr>AE-sem1&amp;2</vt:lpstr>
      <vt:lpstr>Pass-Fail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V 22BAD305</dc:creator>
  <cp:lastModifiedBy>Logesh V 22BAD305</cp:lastModifiedBy>
  <dcterms:created xsi:type="dcterms:W3CDTF">2026-02-01T14:49:30Z</dcterms:created>
  <dcterms:modified xsi:type="dcterms:W3CDTF">2026-02-01T15:24:42Z</dcterms:modified>
</cp:coreProperties>
</file>